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genmudgal/Desktop/Financial Systems/RX/Output Files/"/>
    </mc:Choice>
  </mc:AlternateContent>
  <xr:revisionPtr revIDLastSave="0" documentId="13_ncr:1_{8CDA1BD1-1CAF-844C-927F-9578760F0F26}" xr6:coauthVersionLast="47" xr6:coauthVersionMax="47" xr10:uidLastSave="{00000000-0000-0000-0000-000000000000}"/>
  <bookViews>
    <workbookView xWindow="1040" yWindow="600" windowWidth="27760" windowHeight="17400" xr2:uid="{1E4959D8-A83A-9B4C-BA83-927A14DBF122}"/>
  </bookViews>
  <sheets>
    <sheet name="Brightline DCF 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" i="1" l="1"/>
  <c r="E132" i="1" s="1"/>
  <c r="H89" i="1"/>
  <c r="H93" i="1"/>
  <c r="I93" i="1" s="1"/>
  <c r="J93" i="1" s="1"/>
  <c r="K93" i="1" s="1"/>
  <c r="L93" i="1" s="1"/>
  <c r="H92" i="1"/>
  <c r="I92" i="1" s="1"/>
  <c r="J92" i="1" s="1"/>
  <c r="K92" i="1" s="1"/>
  <c r="L92" i="1" s="1"/>
  <c r="H91" i="1"/>
  <c r="I91" i="1" s="1"/>
  <c r="J91" i="1" s="1"/>
  <c r="K91" i="1" s="1"/>
  <c r="L91" i="1" s="1"/>
  <c r="H90" i="1"/>
  <c r="I90" i="1" s="1"/>
  <c r="J90" i="1" s="1"/>
  <c r="K90" i="1" s="1"/>
  <c r="L90" i="1" s="1"/>
  <c r="F105" i="1"/>
  <c r="G105" i="1"/>
  <c r="F106" i="1"/>
  <c r="G106" i="1"/>
  <c r="F107" i="1"/>
  <c r="G107" i="1"/>
  <c r="F108" i="1"/>
  <c r="G108" i="1"/>
  <c r="G104" i="1"/>
  <c r="F104" i="1"/>
  <c r="L41" i="1"/>
  <c r="K41" i="1"/>
  <c r="J41" i="1"/>
  <c r="I41" i="1"/>
  <c r="H41" i="1"/>
  <c r="H21" i="1" s="1"/>
  <c r="F42" i="1"/>
  <c r="G42" i="1"/>
  <c r="G41" i="1"/>
  <c r="F41" i="1"/>
  <c r="F27" i="1"/>
  <c r="G27" i="1"/>
  <c r="G18" i="1"/>
  <c r="F18" i="1"/>
  <c r="E18" i="1"/>
  <c r="G17" i="1"/>
  <c r="F17" i="1"/>
  <c r="E17" i="1"/>
  <c r="E27" i="1"/>
  <c r="E98" i="1"/>
  <c r="E94" i="1"/>
  <c r="F94" i="1"/>
  <c r="G94" i="1"/>
  <c r="H97" i="1"/>
  <c r="I97" i="1"/>
  <c r="J97" i="1"/>
  <c r="K97" i="1"/>
  <c r="L97" i="1"/>
  <c r="F98" i="1"/>
  <c r="G98" i="1"/>
  <c r="E10" i="1"/>
  <c r="I21" i="1" l="1"/>
  <c r="E100" i="1"/>
  <c r="E115" i="1" s="1"/>
  <c r="G19" i="1"/>
  <c r="F19" i="1"/>
  <c r="H98" i="1"/>
  <c r="F100" i="1"/>
  <c r="F115" i="1" s="1"/>
  <c r="I98" i="1"/>
  <c r="L98" i="1"/>
  <c r="G100" i="1"/>
  <c r="G115" i="1" s="1"/>
  <c r="E19" i="1"/>
  <c r="E29" i="1" s="1"/>
  <c r="E114" i="1" s="1"/>
  <c r="E116" i="1" s="1"/>
  <c r="E120" i="1" s="1"/>
  <c r="I42" i="1"/>
  <c r="J42" i="1"/>
  <c r="K42" i="1"/>
  <c r="L42" i="1"/>
  <c r="H42" i="1"/>
  <c r="H22" i="1" s="1"/>
  <c r="H39" i="1"/>
  <c r="H14" i="1" s="1"/>
  <c r="I39" i="1"/>
  <c r="J39" i="1"/>
  <c r="K39" i="1"/>
  <c r="L39" i="1"/>
  <c r="I38" i="1"/>
  <c r="J38" i="1"/>
  <c r="K38" i="1"/>
  <c r="L38" i="1"/>
  <c r="H38" i="1"/>
  <c r="H13" i="1" s="1"/>
  <c r="H35" i="1"/>
  <c r="H9" i="1" s="1"/>
  <c r="I35" i="1"/>
  <c r="J35" i="1"/>
  <c r="K35" i="1"/>
  <c r="L35" i="1"/>
  <c r="I34" i="1"/>
  <c r="J34" i="1"/>
  <c r="K34" i="1"/>
  <c r="L34" i="1"/>
  <c r="H34" i="1"/>
  <c r="H8" i="1" s="1"/>
  <c r="G39" i="1"/>
  <c r="F39" i="1"/>
  <c r="G38" i="1"/>
  <c r="F38" i="1"/>
  <c r="G35" i="1"/>
  <c r="F35" i="1"/>
  <c r="G34" i="1"/>
  <c r="F34" i="1"/>
  <c r="G10" i="1"/>
  <c r="F10" i="1"/>
  <c r="I22" i="1" l="1"/>
  <c r="J22" i="1" s="1"/>
  <c r="K22" i="1"/>
  <c r="L22" i="1" s="1"/>
  <c r="H27" i="1"/>
  <c r="J21" i="1"/>
  <c r="I27" i="1"/>
  <c r="H17" i="1"/>
  <c r="H18" i="1"/>
  <c r="H19" i="1" s="1"/>
  <c r="J98" i="1"/>
  <c r="K98" i="1"/>
  <c r="I9" i="1"/>
  <c r="I13" i="1"/>
  <c r="J13" i="1" s="1"/>
  <c r="I14" i="1"/>
  <c r="J14" i="1" s="1"/>
  <c r="I8" i="1"/>
  <c r="I17" i="1" s="1"/>
  <c r="H10" i="1"/>
  <c r="G29" i="1"/>
  <c r="G114" i="1" s="1"/>
  <c r="G116" i="1" s="1"/>
  <c r="G120" i="1" s="1"/>
  <c r="F29" i="1"/>
  <c r="F114" i="1" s="1"/>
  <c r="F116" i="1" s="1"/>
  <c r="F120" i="1" s="1"/>
  <c r="K21" i="1" l="1"/>
  <c r="J27" i="1"/>
  <c r="J9" i="1"/>
  <c r="I18" i="1"/>
  <c r="I19" i="1" s="1"/>
  <c r="I10" i="1"/>
  <c r="J8" i="1"/>
  <c r="J17" i="1" s="1"/>
  <c r="H29" i="1"/>
  <c r="K14" i="1"/>
  <c r="K13" i="1"/>
  <c r="H114" i="1" l="1"/>
  <c r="L21" i="1"/>
  <c r="L27" i="1" s="1"/>
  <c r="K27" i="1"/>
  <c r="K9" i="1"/>
  <c r="J18" i="1"/>
  <c r="J19" i="1" s="1"/>
  <c r="J29" i="1" s="1"/>
  <c r="I29" i="1"/>
  <c r="J10" i="1"/>
  <c r="K8" i="1"/>
  <c r="L14" i="1"/>
  <c r="L13" i="1"/>
  <c r="J114" i="1" l="1"/>
  <c r="I114" i="1"/>
  <c r="I89" i="1"/>
  <c r="J89" i="1" s="1"/>
  <c r="L8" i="1"/>
  <c r="K17" i="1"/>
  <c r="L9" i="1"/>
  <c r="L18" i="1" s="1"/>
  <c r="K18" i="1"/>
  <c r="H94" i="1"/>
  <c r="H100" i="1" s="1"/>
  <c r="H115" i="1" s="1"/>
  <c r="H116" i="1" s="1"/>
  <c r="H120" i="1" s="1"/>
  <c r="H121" i="1" s="1"/>
  <c r="K10" i="1"/>
  <c r="K19" i="1" l="1"/>
  <c r="K29" i="1" s="1"/>
  <c r="L10" i="1"/>
  <c r="L17" i="1"/>
  <c r="L19" i="1" s="1"/>
  <c r="L29" i="1" s="1"/>
  <c r="I94" i="1"/>
  <c r="I100" i="1" s="1"/>
  <c r="I115" i="1" s="1"/>
  <c r="J94" i="1"/>
  <c r="J100" i="1" s="1"/>
  <c r="J115" i="1" s="1"/>
  <c r="J116" i="1" s="1"/>
  <c r="I116" i="1" l="1"/>
  <c r="I120" i="1" s="1"/>
  <c r="I121" i="1" s="1"/>
  <c r="L114" i="1"/>
  <c r="K114" i="1"/>
  <c r="K89" i="1"/>
  <c r="L89" i="1" s="1"/>
  <c r="J120" i="1"/>
  <c r="J121" i="1" s="1"/>
  <c r="L94" i="1" l="1"/>
  <c r="L100" i="1" s="1"/>
  <c r="L115" i="1" s="1"/>
  <c r="K94" i="1"/>
  <c r="K100" i="1" s="1"/>
  <c r="K115" i="1" s="1"/>
  <c r="K116" i="1" s="1"/>
  <c r="L116" i="1" l="1"/>
  <c r="L120" i="1" s="1"/>
  <c r="E139" i="1" s="1"/>
  <c r="K120" i="1"/>
  <c r="K121" i="1" s="1"/>
  <c r="L121" i="1" l="1"/>
  <c r="E138" i="1" s="1"/>
  <c r="E140" i="1" l="1"/>
  <c r="G1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10" authorId="0" shapeId="0" xr:uid="{CAE1CD71-DBCC-D24E-A353-044BD2DCA51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2023-2024 UFCF — construction period CapEx ($469mm, $252mm) and financing-related WC movements are not comparable to steady-state projections. These are simplified management accounts excluding D&amp;A for comparability with the projection methodology. Refer to audited financial statements for GAAP figures. </t>
        </r>
      </text>
    </comment>
    <comment ref="C126" authorId="0" shapeId="0" xr:uid="{154FABAA-F64F-2E4C-90A8-73DD89906A8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10yr UST</t>
        </r>
      </text>
    </comment>
    <comment ref="C127" authorId="0" shapeId="0" xr:uid="{7B301F14-DC8A-B84B-9B9B-D466A801E87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Damodarad implied</t>
        </r>
      </text>
    </comment>
    <comment ref="C128" authorId="0" shapeId="0" xr:uid="{692328C0-68A7-794C-8A9E-4BDDABC4CA8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40% railroad (β_u = 0.68), 30% air transport (0.82), 20% infrastructure (0.55), 10% hotels/gaming (0.85)</t>
        </r>
      </text>
    </comment>
    <comment ref="C131" authorId="0" shapeId="0" xr:uid="{7050DBFB-8477-8F4C-957E-98022E89B56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Altman distress cost methodology</t>
        </r>
      </text>
    </comment>
    <comment ref="C136" authorId="0" shapeId="0" xr:uid="{3414DE57-3BC1-4E4E-8F19-96025B6258A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Built from three components, each sourced: volume (+1.0%, grounded in the Census Bureau Florida migration data and Visit Orlando tourism statistics), fare/yield (+2.0%, tied to long-run CPI and the air competition pricing ceiling), and operating leverage (+0.3%, referencing Italo's mature corridor margins as the relevant benchmark rather than freight rail). The 3.3% arithmetic sum is rounded down to 3.0% given distress.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An exit multiple approach requires observable comparable transactions at which similar businesses have been acquired. No meaningful comparable exists for Brightline</t>
        </r>
      </text>
    </comment>
  </commentList>
</comments>
</file>

<file path=xl/sharedStrings.xml><?xml version="1.0" encoding="utf-8"?>
<sst xmlns="http://schemas.openxmlformats.org/spreadsheetml/2006/main" count="111" uniqueCount="54">
  <si>
    <t>Periods</t>
  </si>
  <si>
    <t>Ticket Revenue</t>
  </si>
  <si>
    <t>Short-Distance</t>
  </si>
  <si>
    <t>Long-Distance</t>
  </si>
  <si>
    <t>Total</t>
  </si>
  <si>
    <t>Average Fare per Passenger</t>
  </si>
  <si>
    <t>Ridership</t>
  </si>
  <si>
    <t xml:space="preserve">Short-Distance </t>
  </si>
  <si>
    <t>Total Revenue</t>
  </si>
  <si>
    <t>Growth Assumptions</t>
  </si>
  <si>
    <t>Scenario</t>
  </si>
  <si>
    <t>Base Case</t>
  </si>
  <si>
    <t>Best Case</t>
  </si>
  <si>
    <t>Weak Case</t>
  </si>
  <si>
    <t>x</t>
  </si>
  <si>
    <t>Labour</t>
  </si>
  <si>
    <t>Maintenance of Way</t>
  </si>
  <si>
    <t>Maintenance of Equipment</t>
  </si>
  <si>
    <t>Fuel</t>
  </si>
  <si>
    <t>Facilities and Others</t>
  </si>
  <si>
    <t>Train Operating Expenses</t>
  </si>
  <si>
    <t>Corporate, G&amp;A</t>
  </si>
  <si>
    <t>Expansion Costs</t>
  </si>
  <si>
    <t>Other Expenses</t>
  </si>
  <si>
    <t>Total Operating Expenses</t>
  </si>
  <si>
    <t>Revenue Forecast Model</t>
  </si>
  <si>
    <t>Operating Expenses Forecast Model</t>
  </si>
  <si>
    <t>Revenue</t>
  </si>
  <si>
    <t>Unlevered Free Cash</t>
  </si>
  <si>
    <t>WACC</t>
  </si>
  <si>
    <t>Cost of Equity</t>
  </si>
  <si>
    <t>Risk-Free Rate</t>
  </si>
  <si>
    <t>Risk Premium</t>
  </si>
  <si>
    <t xml:space="preserve">Operating Expenses </t>
  </si>
  <si>
    <t>Passenger Food and Beverage</t>
  </si>
  <si>
    <t>Affiliate Revenue</t>
  </si>
  <si>
    <t>Passenger Ancillary</t>
  </si>
  <si>
    <t>Advertising</t>
  </si>
  <si>
    <t>Grants</t>
  </si>
  <si>
    <t>Other Service Income</t>
  </si>
  <si>
    <t>Total Ancillary Revenue</t>
  </si>
  <si>
    <t>Changes in Working Capital</t>
  </si>
  <si>
    <t>CapEx (Net of asset sales/grants)</t>
  </si>
  <si>
    <t>EBITDA</t>
  </si>
  <si>
    <t>Simplified Cash Calculation</t>
  </si>
  <si>
    <t>Unlevered Beta</t>
  </si>
  <si>
    <t>Terminal Value</t>
  </si>
  <si>
    <t>Present Value of TV</t>
  </si>
  <si>
    <t>Present Value of UFCF</t>
  </si>
  <si>
    <t>Total Enterprise Value</t>
  </si>
  <si>
    <t>GGM Growth Rate (G)</t>
  </si>
  <si>
    <t>Distress Premium</t>
  </si>
  <si>
    <t>Sensitivity (G/r)</t>
  </si>
  <si>
    <t xml:space="preserve">Total Discount Rate (r)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</si>
</sst>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 $-409]* #,##0.0_);_([$ $-409]* \(#,##0.0\);_([$ $-409]* &quot;-&quot;??_);_(@_)"/>
    <numFmt numFmtId="165" formatCode="0.0%"/>
    <numFmt numFmtId="166" formatCode="_([$ $-409]* #,##0_);_([$ $-409]* \(#,##0\);_([$ $-409]* &quot;-&quot;??_);_(@_)"/>
    <numFmt numFmtId="167" formatCode="_(* #,##0_);_(* \(#,##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3" fontId="0" fillId="0" borderId="0" xfId="0" applyNumberFormat="1"/>
    <xf numFmtId="3" fontId="0" fillId="0" borderId="5" xfId="0" applyNumberFormat="1" applyBorder="1"/>
    <xf numFmtId="164" fontId="0" fillId="0" borderId="0" xfId="0" applyNumberFormat="1"/>
    <xf numFmtId="164" fontId="0" fillId="0" borderId="5" xfId="0" applyNumberFormat="1" applyBorder="1"/>
    <xf numFmtId="165" fontId="0" fillId="0" borderId="0" xfId="1" applyNumberFormat="1" applyFont="1" applyBorder="1"/>
    <xf numFmtId="0" fontId="0" fillId="0" borderId="7" xfId="0" applyBorder="1"/>
    <xf numFmtId="165" fontId="0" fillId="0" borderId="7" xfId="1" applyNumberFormat="1" applyFont="1" applyBorder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5" xfId="0" applyNumberFormat="1" applyFont="1" applyBorder="1"/>
    <xf numFmtId="165" fontId="2" fillId="0" borderId="0" xfId="1" applyNumberFormat="1" applyFont="1" applyBorder="1"/>
    <xf numFmtId="165" fontId="2" fillId="0" borderId="5" xfId="1" applyNumberFormat="1" applyFont="1" applyBorder="1"/>
    <xf numFmtId="165" fontId="2" fillId="0" borderId="7" xfId="1" applyNumberFormat="1" applyFont="1" applyBorder="1"/>
    <xf numFmtId="165" fontId="2" fillId="0" borderId="8" xfId="1" applyNumberFormat="1" applyFont="1" applyBorder="1"/>
    <xf numFmtId="0" fontId="3" fillId="0" borderId="0" xfId="0" applyFont="1"/>
    <xf numFmtId="0" fontId="3" fillId="0" borderId="5" xfId="0" applyFont="1" applyBorder="1"/>
    <xf numFmtId="0" fontId="3" fillId="0" borderId="4" xfId="0" applyFont="1" applyBorder="1" applyAlignment="1">
      <alignment horizontal="left" indent="1"/>
    </xf>
    <xf numFmtId="3" fontId="0" fillId="0" borderId="2" xfId="0" applyNumberFormat="1" applyBorder="1"/>
    <xf numFmtId="3" fontId="0" fillId="0" borderId="3" xfId="0" applyNumberFormat="1" applyBorder="1"/>
    <xf numFmtId="0" fontId="3" fillId="2" borderId="10" xfId="0" applyFont="1" applyFill="1" applyBorder="1"/>
    <xf numFmtId="0" fontId="3" fillId="0" borderId="2" xfId="0" applyFont="1" applyBorder="1"/>
    <xf numFmtId="0" fontId="3" fillId="0" borderId="3" xfId="0" applyFont="1" applyBorder="1"/>
    <xf numFmtId="166" fontId="0" fillId="0" borderId="0" xfId="0" applyNumberFormat="1"/>
    <xf numFmtId="166" fontId="0" fillId="0" borderId="5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66" fontId="0" fillId="0" borderId="11" xfId="0" applyNumberFormat="1" applyBorder="1"/>
    <xf numFmtId="166" fontId="0" fillId="0" borderId="10" xfId="0" applyNumberFormat="1" applyBorder="1"/>
    <xf numFmtId="166" fontId="2" fillId="0" borderId="0" xfId="0" applyNumberFormat="1" applyFont="1"/>
    <xf numFmtId="167" fontId="0" fillId="0" borderId="0" xfId="0" applyNumberFormat="1"/>
    <xf numFmtId="166" fontId="4" fillId="0" borderId="2" xfId="0" applyNumberFormat="1" applyFont="1" applyBorder="1"/>
    <xf numFmtId="167" fontId="2" fillId="0" borderId="0" xfId="0" applyNumberFormat="1" applyFont="1"/>
    <xf numFmtId="166" fontId="4" fillId="0" borderId="11" xfId="0" applyNumberFormat="1" applyFont="1" applyBorder="1"/>
    <xf numFmtId="167" fontId="0" fillId="0" borderId="8" xfId="0" applyNumberFormat="1" applyBorder="1"/>
    <xf numFmtId="166" fontId="4" fillId="0" borderId="3" xfId="0" applyNumberFormat="1" applyFont="1" applyBorder="1"/>
    <xf numFmtId="166" fontId="4" fillId="0" borderId="10" xfId="0" applyNumberFormat="1" applyFont="1" applyBorder="1"/>
    <xf numFmtId="0" fontId="3" fillId="0" borderId="6" xfId="0" applyFont="1" applyBorder="1" applyAlignment="1">
      <alignment horizontal="left" indent="1"/>
    </xf>
    <xf numFmtId="165" fontId="4" fillId="0" borderId="0" xfId="1" applyNumberFormat="1" applyFont="1" applyBorder="1"/>
    <xf numFmtId="165" fontId="4" fillId="0" borderId="7" xfId="1" applyNumberFormat="1" applyFont="1" applyBorder="1"/>
    <xf numFmtId="167" fontId="2" fillId="0" borderId="8" xfId="0" applyNumberFormat="1" applyFont="1" applyBorder="1"/>
    <xf numFmtId="167" fontId="2" fillId="0" borderId="5" xfId="0" applyNumberFormat="1" applyFont="1" applyBorder="1"/>
    <xf numFmtId="9" fontId="0" fillId="0" borderId="0" xfId="1" applyFont="1"/>
    <xf numFmtId="165" fontId="0" fillId="0" borderId="0" xfId="1" applyNumberFormat="1" applyFont="1"/>
    <xf numFmtId="164" fontId="4" fillId="0" borderId="0" xfId="0" applyNumberFormat="1" applyFont="1"/>
    <xf numFmtId="164" fontId="4" fillId="0" borderId="5" xfId="0" applyNumberFormat="1" applyFont="1" applyBorder="1"/>
    <xf numFmtId="167" fontId="4" fillId="0" borderId="0" xfId="0" applyNumberFormat="1" applyFont="1"/>
    <xf numFmtId="167" fontId="4" fillId="0" borderId="5" xfId="0" applyNumberFormat="1" applyFont="1" applyBorder="1"/>
    <xf numFmtId="167" fontId="4" fillId="0" borderId="8" xfId="0" applyNumberFormat="1" applyFont="1" applyBorder="1"/>
    <xf numFmtId="0" fontId="0" fillId="3" borderId="9" xfId="0" applyFill="1" applyBorder="1"/>
    <xf numFmtId="165" fontId="4" fillId="0" borderId="0" xfId="0" applyNumberFormat="1" applyFont="1"/>
    <xf numFmtId="165" fontId="4" fillId="0" borderId="5" xfId="0" applyNumberFormat="1" applyFont="1" applyBorder="1"/>
    <xf numFmtId="0" fontId="4" fillId="0" borderId="0" xfId="0" applyFont="1"/>
    <xf numFmtId="0" fontId="4" fillId="0" borderId="5" xfId="0" applyFont="1" applyBorder="1"/>
    <xf numFmtId="165" fontId="4" fillId="0" borderId="7" xfId="0" applyNumberFormat="1" applyFont="1" applyBorder="1"/>
    <xf numFmtId="165" fontId="4" fillId="0" borderId="8" xfId="0" applyNumberFormat="1" applyFont="1" applyBorder="1"/>
    <xf numFmtId="166" fontId="2" fillId="0" borderId="5" xfId="0" applyNumberFormat="1" applyFont="1" applyBorder="1"/>
    <xf numFmtId="165" fontId="2" fillId="0" borderId="7" xfId="0" applyNumberFormat="1" applyFont="1" applyBorder="1"/>
    <xf numFmtId="165" fontId="2" fillId="0" borderId="8" xfId="0" applyNumberFormat="1" applyFont="1" applyBorder="1"/>
    <xf numFmtId="165" fontId="0" fillId="0" borderId="0" xfId="0" applyNumberFormat="1"/>
    <xf numFmtId="166" fontId="0" fillId="0" borderId="7" xfId="0" applyNumberFormat="1" applyBorder="1"/>
    <xf numFmtId="166" fontId="0" fillId="0" borderId="8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166" fontId="0" fillId="0" borderId="4" xfId="0" applyNumberFormat="1" applyBorder="1"/>
    <xf numFmtId="0" fontId="3" fillId="0" borderId="1" xfId="0" applyFont="1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3" fillId="0" borderId="4" xfId="0" applyFont="1" applyBorder="1" applyAlignment="1">
      <alignment horizontal="left" indent="2"/>
    </xf>
    <xf numFmtId="0" fontId="3" fillId="0" borderId="9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3" fillId="0" borderId="6" xfId="0" applyFont="1" applyBorder="1" applyAlignment="1">
      <alignment horizontal="left" indent="2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5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8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AD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2AFA-B94C-9A4D-B4C5-08A0B15FEB47}">
  <dimension ref="B3:P140"/>
  <sheetViews>
    <sheetView showGridLines="0" tabSelected="1" topLeftCell="A79" zoomScale="75" zoomScaleNormal="125" workbookViewId="0">
      <selection activeCell="Q106" sqref="Q106"/>
    </sheetView>
  </sheetViews>
  <sheetFormatPr baseColWidth="10" defaultRowHeight="16" x14ac:dyDescent="0.2"/>
  <cols>
    <col min="1" max="2" width="2" bestFit="1" customWidth="1"/>
    <col min="3" max="3" width="31.33203125" style="73" bestFit="1" customWidth="1"/>
    <col min="4" max="4" width="2" bestFit="1" customWidth="1"/>
    <col min="5" max="5" width="13.33203125" bestFit="1" customWidth="1"/>
    <col min="6" max="6" width="14.33203125" bestFit="1" customWidth="1"/>
    <col min="7" max="7" width="14.5" bestFit="1" customWidth="1"/>
    <col min="8" max="12" width="14.33203125" bestFit="1" customWidth="1"/>
  </cols>
  <sheetData>
    <row r="3" spans="2:12" x14ac:dyDescent="0.2">
      <c r="B3" t="s">
        <v>14</v>
      </c>
      <c r="C3" s="69" t="s">
        <v>25</v>
      </c>
      <c r="D3" s="1"/>
      <c r="E3" s="1"/>
      <c r="F3" s="1"/>
      <c r="G3" s="1"/>
      <c r="H3" s="1"/>
      <c r="I3" s="1"/>
      <c r="J3" s="1"/>
      <c r="K3" s="1"/>
      <c r="L3" s="2"/>
    </row>
    <row r="4" spans="2:12" x14ac:dyDescent="0.2">
      <c r="C4" s="70"/>
      <c r="L4" s="3"/>
    </row>
    <row r="5" spans="2:12" x14ac:dyDescent="0.2">
      <c r="C5" s="21" t="s">
        <v>0</v>
      </c>
      <c r="D5" s="19"/>
      <c r="E5" s="19">
        <v>2023</v>
      </c>
      <c r="F5" s="19">
        <v>2024</v>
      </c>
      <c r="G5" s="19">
        <v>2025</v>
      </c>
      <c r="H5" s="19">
        <v>2026</v>
      </c>
      <c r="I5" s="19">
        <v>2027</v>
      </c>
      <c r="J5" s="19">
        <v>2028</v>
      </c>
      <c r="K5" s="19">
        <v>2029</v>
      </c>
      <c r="L5" s="20">
        <v>2030</v>
      </c>
    </row>
    <row r="6" spans="2:12" x14ac:dyDescent="0.2">
      <c r="C6" s="70"/>
      <c r="L6" s="3"/>
    </row>
    <row r="7" spans="2:12" x14ac:dyDescent="0.2">
      <c r="C7" s="21" t="s">
        <v>6</v>
      </c>
      <c r="L7" s="3"/>
    </row>
    <row r="8" spans="2:12" x14ac:dyDescent="0.2">
      <c r="C8" s="71" t="s">
        <v>7</v>
      </c>
      <c r="E8" s="11">
        <v>1747762</v>
      </c>
      <c r="F8" s="11">
        <v>1135505</v>
      </c>
      <c r="G8" s="11">
        <v>1227198</v>
      </c>
      <c r="H8" s="4">
        <f t="shared" ref="H8:L9" si="0">G8*(1+H34)</f>
        <v>1448093.64</v>
      </c>
      <c r="I8" s="4">
        <f t="shared" si="0"/>
        <v>1650826.7496</v>
      </c>
      <c r="J8" s="4">
        <f t="shared" si="0"/>
        <v>1824163.558308</v>
      </c>
      <c r="K8" s="4">
        <f t="shared" si="0"/>
        <v>1878888.4650572401</v>
      </c>
      <c r="L8" s="5">
        <f t="shared" si="0"/>
        <v>1935255.1190089574</v>
      </c>
    </row>
    <row r="9" spans="2:12" x14ac:dyDescent="0.2">
      <c r="C9" s="71" t="s">
        <v>3</v>
      </c>
      <c r="E9" s="11">
        <v>306131</v>
      </c>
      <c r="F9" s="11">
        <v>1628007</v>
      </c>
      <c r="G9" s="11">
        <v>1889125</v>
      </c>
      <c r="H9" s="4">
        <f t="shared" si="0"/>
        <v>2078037.5000000002</v>
      </c>
      <c r="I9" s="4">
        <f t="shared" si="0"/>
        <v>2213109.9375</v>
      </c>
      <c r="J9" s="4">
        <f t="shared" si="0"/>
        <v>2301634.335</v>
      </c>
      <c r="K9" s="4">
        <f t="shared" si="0"/>
        <v>2370683.3650500001</v>
      </c>
      <c r="L9" s="5">
        <f t="shared" si="0"/>
        <v>2441803.8660015003</v>
      </c>
    </row>
    <row r="10" spans="2:12" x14ac:dyDescent="0.2">
      <c r="C10" s="21" t="s">
        <v>4</v>
      </c>
      <c r="E10" s="22">
        <f>SUM(E9,E8)</f>
        <v>2053893</v>
      </c>
      <c r="F10" s="22">
        <f t="shared" ref="F10:G10" si="1">SUM(F9,F8)</f>
        <v>2763512</v>
      </c>
      <c r="G10" s="22">
        <f t="shared" si="1"/>
        <v>3116323</v>
      </c>
      <c r="H10" s="22">
        <f>SUM(H8:H9)</f>
        <v>3526131.14</v>
      </c>
      <c r="I10" s="22">
        <f t="shared" ref="I10:L10" si="2">SUM(I8:I9)</f>
        <v>3863936.6870999997</v>
      </c>
      <c r="J10" s="22">
        <f t="shared" si="2"/>
        <v>4125797.8933079997</v>
      </c>
      <c r="K10" s="22">
        <f t="shared" si="2"/>
        <v>4249571.83010724</v>
      </c>
      <c r="L10" s="23">
        <f t="shared" si="2"/>
        <v>4377058.9850104582</v>
      </c>
    </row>
    <row r="11" spans="2:12" x14ac:dyDescent="0.2">
      <c r="C11" s="21"/>
      <c r="L11" s="3"/>
    </row>
    <row r="12" spans="2:12" x14ac:dyDescent="0.2">
      <c r="C12" s="21" t="s">
        <v>5</v>
      </c>
      <c r="L12" s="3"/>
    </row>
    <row r="13" spans="2:12" x14ac:dyDescent="0.2">
      <c r="C13" s="71" t="s">
        <v>7</v>
      </c>
      <c r="E13" s="12">
        <v>22.31</v>
      </c>
      <c r="F13" s="12">
        <v>29.34</v>
      </c>
      <c r="G13" s="12">
        <v>26.1</v>
      </c>
      <c r="H13" s="6">
        <f t="shared" ref="H13:L14" si="3">G13*(1+H38)</f>
        <v>27.144000000000002</v>
      </c>
      <c r="I13" s="6">
        <f t="shared" si="3"/>
        <v>27.958320000000004</v>
      </c>
      <c r="J13" s="6">
        <f t="shared" si="3"/>
        <v>28.517486400000006</v>
      </c>
      <c r="K13" s="6">
        <f t="shared" si="3"/>
        <v>28.802661264000008</v>
      </c>
      <c r="L13" s="7">
        <f t="shared" si="3"/>
        <v>29.090687876640008</v>
      </c>
    </row>
    <row r="14" spans="2:12" x14ac:dyDescent="0.2">
      <c r="C14" s="71" t="s">
        <v>3</v>
      </c>
      <c r="E14" s="12">
        <v>85.34</v>
      </c>
      <c r="F14" s="12">
        <v>73.2</v>
      </c>
      <c r="G14" s="12">
        <v>74.739999999999995</v>
      </c>
      <c r="H14" s="6">
        <f t="shared" si="3"/>
        <v>76.234799999999993</v>
      </c>
      <c r="I14" s="6">
        <f t="shared" si="3"/>
        <v>77.759495999999999</v>
      </c>
      <c r="J14" s="6">
        <f t="shared" si="3"/>
        <v>78.53709096</v>
      </c>
      <c r="K14" s="6">
        <f t="shared" si="3"/>
        <v>79.715147324399993</v>
      </c>
      <c r="L14" s="7">
        <f t="shared" si="3"/>
        <v>80.910874534265986</v>
      </c>
    </row>
    <row r="15" spans="2:12" x14ac:dyDescent="0.2">
      <c r="C15" s="21"/>
      <c r="L15" s="3"/>
    </row>
    <row r="16" spans="2:12" x14ac:dyDescent="0.2">
      <c r="C16" s="21" t="s">
        <v>1</v>
      </c>
      <c r="L16" s="3"/>
    </row>
    <row r="17" spans="2:16" x14ac:dyDescent="0.2">
      <c r="C17" s="71" t="s">
        <v>2</v>
      </c>
      <c r="E17" s="27">
        <f>(E8*E13)/1000</f>
        <v>38992.570220000001</v>
      </c>
      <c r="F17" s="27">
        <f t="shared" ref="F17:L17" si="4">(F8*F13)/1000</f>
        <v>33315.716699999997</v>
      </c>
      <c r="G17" s="27">
        <f t="shared" si="4"/>
        <v>32029.8678</v>
      </c>
      <c r="H17" s="27">
        <f t="shared" si="4"/>
        <v>39307.053764160002</v>
      </c>
      <c r="I17" s="27">
        <f t="shared" si="4"/>
        <v>46154.342529876682</v>
      </c>
      <c r="J17" s="27">
        <f t="shared" si="4"/>
        <v>52020.559465424012</v>
      </c>
      <c r="K17" s="27">
        <f t="shared" si="4"/>
        <v>54116.988011880596</v>
      </c>
      <c r="L17" s="28">
        <f t="shared" si="4"/>
        <v>56297.902628759395</v>
      </c>
    </row>
    <row r="18" spans="2:16" x14ac:dyDescent="0.2">
      <c r="C18" s="71" t="s">
        <v>3</v>
      </c>
      <c r="E18" s="34">
        <f>(E9*E14)/1000</f>
        <v>26125.219540000002</v>
      </c>
      <c r="F18" s="34">
        <f t="shared" ref="F18:L18" si="5">(F9*F14)/1000</f>
        <v>119170.11240000001</v>
      </c>
      <c r="G18" s="34">
        <f t="shared" si="5"/>
        <v>141193.20250000001</v>
      </c>
      <c r="H18" s="34">
        <f t="shared" si="5"/>
        <v>158418.773205</v>
      </c>
      <c r="I18" s="34">
        <f t="shared" si="5"/>
        <v>172090.3133325915</v>
      </c>
      <c r="J18" s="34">
        <f t="shared" si="5"/>
        <v>180763.6651245541</v>
      </c>
      <c r="K18" s="34">
        <f t="shared" si="5"/>
        <v>188979.37370446508</v>
      </c>
      <c r="L18" s="38">
        <f t="shared" si="5"/>
        <v>197568.48623933303</v>
      </c>
    </row>
    <row r="19" spans="2:16" x14ac:dyDescent="0.2">
      <c r="C19" s="21" t="s">
        <v>4</v>
      </c>
      <c r="E19" s="29">
        <f>SUM(E17:E18)</f>
        <v>65117.78976</v>
      </c>
      <c r="F19" s="29">
        <f>SUM(F17:F18)</f>
        <v>152485.8291</v>
      </c>
      <c r="G19" s="29">
        <f>SUM(G17:G18)</f>
        <v>173223.07030000002</v>
      </c>
      <c r="H19" s="29">
        <f t="shared" ref="H19:L19" si="6">SUM(H17:H18)</f>
        <v>197725.82696916</v>
      </c>
      <c r="I19" s="29">
        <f t="shared" si="6"/>
        <v>218244.65586246818</v>
      </c>
      <c r="J19" s="29">
        <f t="shared" si="6"/>
        <v>232784.22458997811</v>
      </c>
      <c r="K19" s="29">
        <f t="shared" si="6"/>
        <v>243096.36171634568</v>
      </c>
      <c r="L19" s="30">
        <f t="shared" si="6"/>
        <v>253866.38886809241</v>
      </c>
    </row>
    <row r="20" spans="2:16" x14ac:dyDescent="0.2">
      <c r="C20" s="21"/>
      <c r="L20" s="3"/>
    </row>
    <row r="21" spans="2:16" x14ac:dyDescent="0.2">
      <c r="C21" s="71" t="s">
        <v>34</v>
      </c>
      <c r="E21" s="12">
        <v>5917</v>
      </c>
      <c r="F21" s="12">
        <v>12495</v>
      </c>
      <c r="G21" s="12">
        <v>15003</v>
      </c>
      <c r="H21" s="48">
        <f t="shared" ref="H21:L22" si="7">G21*(1+H41)</f>
        <v>18003.599999999999</v>
      </c>
      <c r="I21" s="48">
        <f t="shared" si="7"/>
        <v>20704.139999999996</v>
      </c>
      <c r="J21" s="48">
        <f t="shared" si="7"/>
        <v>22774.553999999996</v>
      </c>
      <c r="K21" s="48">
        <f t="shared" si="7"/>
        <v>23913.281699999996</v>
      </c>
      <c r="L21" s="49">
        <f t="shared" si="7"/>
        <v>24630.680150999997</v>
      </c>
    </row>
    <row r="22" spans="2:16" x14ac:dyDescent="0.2">
      <c r="C22" s="71" t="s">
        <v>36</v>
      </c>
      <c r="E22" s="36">
        <v>5306</v>
      </c>
      <c r="F22" s="36">
        <v>7892</v>
      </c>
      <c r="G22" s="36">
        <v>10504</v>
      </c>
      <c r="H22" s="50">
        <f t="shared" si="7"/>
        <v>12604.8</v>
      </c>
      <c r="I22" s="50">
        <f t="shared" si="7"/>
        <v>14495.519999999999</v>
      </c>
      <c r="J22" s="50">
        <f t="shared" si="7"/>
        <v>15945.072</v>
      </c>
      <c r="K22" s="50">
        <f t="shared" si="7"/>
        <v>16742.3256</v>
      </c>
      <c r="L22" s="51">
        <f t="shared" si="7"/>
        <v>17244.595368000002</v>
      </c>
    </row>
    <row r="23" spans="2:16" x14ac:dyDescent="0.2">
      <c r="C23" s="71" t="s">
        <v>35</v>
      </c>
      <c r="E23" s="36">
        <v>6920</v>
      </c>
      <c r="F23" s="36">
        <v>6977</v>
      </c>
      <c r="G23" s="36">
        <v>6977</v>
      </c>
      <c r="H23" s="36">
        <v>6977</v>
      </c>
      <c r="I23" s="36">
        <v>6977</v>
      </c>
      <c r="J23" s="36">
        <v>6977</v>
      </c>
      <c r="K23" s="36">
        <v>6977</v>
      </c>
      <c r="L23" s="45">
        <v>6977</v>
      </c>
    </row>
    <row r="24" spans="2:16" x14ac:dyDescent="0.2">
      <c r="C24" s="71" t="s">
        <v>37</v>
      </c>
      <c r="E24" s="36">
        <v>2608</v>
      </c>
      <c r="F24" s="36">
        <v>5583</v>
      </c>
      <c r="G24" s="36">
        <v>5807</v>
      </c>
      <c r="H24" s="36">
        <v>5807</v>
      </c>
      <c r="I24" s="36">
        <v>5807</v>
      </c>
      <c r="J24" s="36">
        <v>5807</v>
      </c>
      <c r="K24" s="36">
        <v>5807</v>
      </c>
      <c r="L24" s="45">
        <v>5807</v>
      </c>
      <c r="P24" s="46"/>
    </row>
    <row r="25" spans="2:16" x14ac:dyDescent="0.2">
      <c r="C25" s="71" t="s">
        <v>38</v>
      </c>
      <c r="E25" s="36">
        <v>1650</v>
      </c>
      <c r="F25" s="36">
        <v>2051</v>
      </c>
      <c r="G25" s="36">
        <v>2029</v>
      </c>
      <c r="H25" s="36">
        <v>2029</v>
      </c>
      <c r="I25" s="36">
        <v>2029</v>
      </c>
      <c r="J25" s="36">
        <v>2029</v>
      </c>
      <c r="K25" s="36">
        <v>2029</v>
      </c>
      <c r="L25" s="45">
        <v>2029</v>
      </c>
    </row>
    <row r="26" spans="2:16" x14ac:dyDescent="0.2">
      <c r="C26" s="71" t="s">
        <v>39</v>
      </c>
      <c r="E26" s="36">
        <v>144</v>
      </c>
      <c r="F26" s="36">
        <v>457</v>
      </c>
      <c r="G26" s="36">
        <v>491</v>
      </c>
      <c r="H26" s="36">
        <v>491</v>
      </c>
      <c r="I26" s="36">
        <v>491</v>
      </c>
      <c r="J26" s="36">
        <v>491</v>
      </c>
      <c r="K26" s="36">
        <v>491</v>
      </c>
      <c r="L26" s="44">
        <v>491</v>
      </c>
    </row>
    <row r="27" spans="2:16" x14ac:dyDescent="0.2">
      <c r="C27" s="21" t="s">
        <v>40</v>
      </c>
      <c r="E27" s="29">
        <f>SUM(E21:E26)</f>
        <v>22545</v>
      </c>
      <c r="F27" s="29">
        <f t="shared" ref="F27:G27" si="8">SUM(F21:F26)</f>
        <v>35455</v>
      </c>
      <c r="G27" s="29">
        <f t="shared" si="8"/>
        <v>40811</v>
      </c>
      <c r="H27" s="29">
        <f>SUM(H21:H26)</f>
        <v>45912.399999999994</v>
      </c>
      <c r="I27" s="29">
        <f t="shared" ref="I27:L27" si="9">SUM(I21:I26)</f>
        <v>50503.659999999996</v>
      </c>
      <c r="J27" s="29">
        <f t="shared" si="9"/>
        <v>54023.625999999997</v>
      </c>
      <c r="K27" s="29">
        <f t="shared" si="9"/>
        <v>55959.607299999996</v>
      </c>
      <c r="L27" s="30">
        <f t="shared" si="9"/>
        <v>57179.275519000003</v>
      </c>
    </row>
    <row r="28" spans="2:16" x14ac:dyDescent="0.2">
      <c r="C28" s="21"/>
      <c r="L28" s="3"/>
    </row>
    <row r="29" spans="2:16" x14ac:dyDescent="0.2">
      <c r="C29" s="41" t="s">
        <v>8</v>
      </c>
      <c r="D29" s="9"/>
      <c r="E29" s="31">
        <f t="shared" ref="E29:L29" si="10">SUM(E27,E19)</f>
        <v>87662.78976</v>
      </c>
      <c r="F29" s="31">
        <f t="shared" si="10"/>
        <v>187940.8291</v>
      </c>
      <c r="G29" s="31">
        <f t="shared" si="10"/>
        <v>214034.07030000002</v>
      </c>
      <c r="H29" s="31">
        <f t="shared" si="10"/>
        <v>243638.22696915999</v>
      </c>
      <c r="I29" s="31">
        <f t="shared" si="10"/>
        <v>268748.31586246815</v>
      </c>
      <c r="J29" s="31">
        <f t="shared" si="10"/>
        <v>286807.8505899781</v>
      </c>
      <c r="K29" s="31">
        <f t="shared" si="10"/>
        <v>299055.96901634568</v>
      </c>
      <c r="L29" s="32">
        <f t="shared" si="10"/>
        <v>311045.6643870924</v>
      </c>
    </row>
    <row r="31" spans="2:16" x14ac:dyDescent="0.2">
      <c r="B31" t="s">
        <v>14</v>
      </c>
      <c r="C31" s="69" t="s">
        <v>9</v>
      </c>
      <c r="D31" s="1"/>
      <c r="E31" s="25">
        <v>2023</v>
      </c>
      <c r="F31" s="25">
        <v>2024</v>
      </c>
      <c r="G31" s="25">
        <v>2025</v>
      </c>
      <c r="H31" s="25">
        <v>2026</v>
      </c>
      <c r="I31" s="25">
        <v>2027</v>
      </c>
      <c r="J31" s="25">
        <v>2028</v>
      </c>
      <c r="K31" s="25">
        <v>2029</v>
      </c>
      <c r="L31" s="26">
        <v>2030</v>
      </c>
    </row>
    <row r="32" spans="2:16" x14ac:dyDescent="0.2">
      <c r="C32" s="21"/>
      <c r="F32" s="8"/>
      <c r="G32" s="8"/>
      <c r="L32" s="3"/>
    </row>
    <row r="33" spans="2:12" x14ac:dyDescent="0.2">
      <c r="C33" s="21" t="s">
        <v>6</v>
      </c>
      <c r="L33" s="3"/>
    </row>
    <row r="34" spans="2:12" x14ac:dyDescent="0.2">
      <c r="C34" s="71" t="s">
        <v>7</v>
      </c>
      <c r="F34" s="8">
        <f>(F8-E8)/E8</f>
        <v>-0.350309138200739</v>
      </c>
      <c r="G34" s="8">
        <f>(G8-F8)/F8</f>
        <v>8.0750855346299666E-2</v>
      </c>
      <c r="H34" s="54">
        <f t="shared" ref="H34:L35" si="11">IF($E$44="Base Case",H49,IF($E$44="Best Case",H62,H75))</f>
        <v>0.18</v>
      </c>
      <c r="I34" s="54">
        <f t="shared" si="11"/>
        <v>0.14000000000000001</v>
      </c>
      <c r="J34" s="54">
        <f t="shared" si="11"/>
        <v>0.105</v>
      </c>
      <c r="K34" s="54">
        <f t="shared" si="11"/>
        <v>0.03</v>
      </c>
      <c r="L34" s="55">
        <f t="shared" si="11"/>
        <v>0.03</v>
      </c>
    </row>
    <row r="35" spans="2:12" x14ac:dyDescent="0.2">
      <c r="C35" s="71" t="s">
        <v>3</v>
      </c>
      <c r="F35" s="8">
        <f>(F9-E9)/E9</f>
        <v>4.3180076503196343</v>
      </c>
      <c r="G35" s="8">
        <f>(G9-F9)/F9</f>
        <v>0.16039120224913037</v>
      </c>
      <c r="H35" s="54">
        <f t="shared" si="11"/>
        <v>0.1</v>
      </c>
      <c r="I35" s="54">
        <f t="shared" si="11"/>
        <v>6.5000000000000002E-2</v>
      </c>
      <c r="J35" s="54">
        <f t="shared" si="11"/>
        <v>0.04</v>
      </c>
      <c r="K35" s="54">
        <f t="shared" si="11"/>
        <v>0.03</v>
      </c>
      <c r="L35" s="55">
        <f t="shared" si="11"/>
        <v>0.03</v>
      </c>
    </row>
    <row r="36" spans="2:12" x14ac:dyDescent="0.2">
      <c r="C36" s="21"/>
      <c r="H36" s="56"/>
      <c r="I36" s="56"/>
      <c r="J36" s="56"/>
      <c r="K36" s="56"/>
      <c r="L36" s="57"/>
    </row>
    <row r="37" spans="2:12" x14ac:dyDescent="0.2">
      <c r="C37" s="21" t="s">
        <v>5</v>
      </c>
      <c r="H37" s="56"/>
      <c r="I37" s="56"/>
      <c r="J37" s="56"/>
      <c r="K37" s="56"/>
      <c r="L37" s="57"/>
    </row>
    <row r="38" spans="2:12" x14ac:dyDescent="0.2">
      <c r="C38" s="71" t="s">
        <v>7</v>
      </c>
      <c r="F38" s="8">
        <f>(F13-E13)/E13</f>
        <v>0.31510533393097273</v>
      </c>
      <c r="G38" s="8">
        <f>(G13-F13)/F13</f>
        <v>-0.11042944785276068</v>
      </c>
      <c r="H38" s="54">
        <f t="shared" ref="H38:L39" si="12">IF($E$44="Base Case",H53,IF($E$44="Best Case",H66,H79))</f>
        <v>0.04</v>
      </c>
      <c r="I38" s="54">
        <f t="shared" si="12"/>
        <v>0.03</v>
      </c>
      <c r="J38" s="54">
        <f t="shared" si="12"/>
        <v>0.02</v>
      </c>
      <c r="K38" s="54">
        <f t="shared" si="12"/>
        <v>0.01</v>
      </c>
      <c r="L38" s="55">
        <f t="shared" si="12"/>
        <v>0.01</v>
      </c>
    </row>
    <row r="39" spans="2:12" x14ac:dyDescent="0.2">
      <c r="C39" s="71" t="s">
        <v>3</v>
      </c>
      <c r="F39" s="8">
        <f>(F14-E14)/E14</f>
        <v>-0.14225451136629952</v>
      </c>
      <c r="G39" s="8">
        <f>(G14-F14)/F14</f>
        <v>2.1038251366120107E-2</v>
      </c>
      <c r="H39" s="54">
        <f t="shared" si="12"/>
        <v>0.02</v>
      </c>
      <c r="I39" s="54">
        <f t="shared" si="12"/>
        <v>0.02</v>
      </c>
      <c r="J39" s="54">
        <f t="shared" si="12"/>
        <v>0.01</v>
      </c>
      <c r="K39" s="54">
        <f t="shared" si="12"/>
        <v>1.4999999999999999E-2</v>
      </c>
      <c r="L39" s="55">
        <f t="shared" si="12"/>
        <v>1.4999999999999999E-2</v>
      </c>
    </row>
    <row r="40" spans="2:12" x14ac:dyDescent="0.2">
      <c r="C40" s="21"/>
      <c r="H40" s="56"/>
      <c r="I40" s="56"/>
      <c r="J40" s="56"/>
      <c r="K40" s="56"/>
      <c r="L40" s="57"/>
    </row>
    <row r="41" spans="2:12" x14ac:dyDescent="0.2">
      <c r="C41" s="21" t="s">
        <v>34</v>
      </c>
      <c r="F41" s="47">
        <f>(F21-E21)/E21</f>
        <v>1.111712016224438</v>
      </c>
      <c r="G41" s="47">
        <f>(G21-F21)/F21</f>
        <v>0.20072028811524609</v>
      </c>
      <c r="H41" s="54">
        <f t="shared" ref="H41:L42" si="13">IF($E$44="Base Case",H56,IF($E$44="Best Case",H69,H82))</f>
        <v>0.2</v>
      </c>
      <c r="I41" s="54">
        <f t="shared" si="13"/>
        <v>0.15</v>
      </c>
      <c r="J41" s="54">
        <f t="shared" si="13"/>
        <v>0.1</v>
      </c>
      <c r="K41" s="54">
        <f t="shared" si="13"/>
        <v>0.05</v>
      </c>
      <c r="L41" s="55">
        <f t="shared" si="13"/>
        <v>0.03</v>
      </c>
    </row>
    <row r="42" spans="2:12" x14ac:dyDescent="0.2">
      <c r="C42" s="41" t="s">
        <v>36</v>
      </c>
      <c r="D42" s="9"/>
      <c r="E42" s="9"/>
      <c r="F42" s="10">
        <f>(F22-E22)/E22</f>
        <v>0.48737278552581981</v>
      </c>
      <c r="G42" s="10">
        <f>(G22-F22)/F22</f>
        <v>0.33096806893056258</v>
      </c>
      <c r="H42" s="58">
        <f t="shared" si="13"/>
        <v>0.2</v>
      </c>
      <c r="I42" s="58">
        <f t="shared" si="13"/>
        <v>0.15</v>
      </c>
      <c r="J42" s="58">
        <f t="shared" si="13"/>
        <v>0.1</v>
      </c>
      <c r="K42" s="58">
        <f t="shared" si="13"/>
        <v>0.05</v>
      </c>
      <c r="L42" s="59">
        <f t="shared" si="13"/>
        <v>0.03</v>
      </c>
    </row>
    <row r="44" spans="2:12" x14ac:dyDescent="0.2">
      <c r="B44" t="s">
        <v>14</v>
      </c>
      <c r="C44" s="72" t="s">
        <v>10</v>
      </c>
      <c r="D44" s="53"/>
      <c r="E44" s="24" t="s">
        <v>11</v>
      </c>
    </row>
    <row r="46" spans="2:12" x14ac:dyDescent="0.2">
      <c r="B46" t="s">
        <v>14</v>
      </c>
      <c r="C46" s="69" t="s">
        <v>11</v>
      </c>
      <c r="D46" s="1"/>
      <c r="E46" s="100">
        <v>2023</v>
      </c>
      <c r="F46" s="100">
        <v>2024</v>
      </c>
      <c r="G46" s="100">
        <v>2025</v>
      </c>
      <c r="H46" s="100">
        <v>2026</v>
      </c>
      <c r="I46" s="100">
        <v>2027</v>
      </c>
      <c r="J46" s="100">
        <v>2028</v>
      </c>
      <c r="K46" s="100">
        <v>2029</v>
      </c>
      <c r="L46" s="101">
        <v>2030</v>
      </c>
    </row>
    <row r="47" spans="2:12" x14ac:dyDescent="0.2">
      <c r="C47" s="71"/>
      <c r="L47" s="3"/>
    </row>
    <row r="48" spans="2:12" x14ac:dyDescent="0.2">
      <c r="C48" s="21" t="s">
        <v>6</v>
      </c>
      <c r="L48" s="3"/>
    </row>
    <row r="49" spans="2:12" x14ac:dyDescent="0.2">
      <c r="C49" s="71" t="s">
        <v>7</v>
      </c>
      <c r="H49" s="13">
        <v>0.18</v>
      </c>
      <c r="I49" s="13">
        <v>0.14000000000000001</v>
      </c>
      <c r="J49" s="13">
        <v>0.105</v>
      </c>
      <c r="K49" s="13">
        <v>0.03</v>
      </c>
      <c r="L49" s="14">
        <v>0.03</v>
      </c>
    </row>
    <row r="50" spans="2:12" x14ac:dyDescent="0.2">
      <c r="C50" s="71" t="s">
        <v>3</v>
      </c>
      <c r="H50" s="13">
        <v>0.1</v>
      </c>
      <c r="I50" s="13">
        <v>6.5000000000000002E-2</v>
      </c>
      <c r="J50" s="13">
        <v>0.04</v>
      </c>
      <c r="K50" s="13">
        <v>0.03</v>
      </c>
      <c r="L50" s="14">
        <v>0.03</v>
      </c>
    </row>
    <row r="51" spans="2:12" x14ac:dyDescent="0.2">
      <c r="C51" s="21"/>
      <c r="L51" s="3"/>
    </row>
    <row r="52" spans="2:12" x14ac:dyDescent="0.2">
      <c r="C52" s="21" t="s">
        <v>5</v>
      </c>
      <c r="L52" s="3"/>
    </row>
    <row r="53" spans="2:12" x14ac:dyDescent="0.2">
      <c r="C53" s="71" t="s">
        <v>7</v>
      </c>
      <c r="H53" s="15">
        <v>0.04</v>
      </c>
      <c r="I53" s="15">
        <v>0.03</v>
      </c>
      <c r="J53" s="15">
        <v>0.02</v>
      </c>
      <c r="K53" s="15">
        <v>0.01</v>
      </c>
      <c r="L53" s="16">
        <v>0.01</v>
      </c>
    </row>
    <row r="54" spans="2:12" x14ac:dyDescent="0.2">
      <c r="C54" s="71" t="s">
        <v>3</v>
      </c>
      <c r="H54" s="15">
        <v>0.02</v>
      </c>
      <c r="I54" s="15">
        <v>0.02</v>
      </c>
      <c r="J54" s="15">
        <v>0.01</v>
      </c>
      <c r="K54" s="15">
        <v>1.4999999999999999E-2</v>
      </c>
      <c r="L54" s="16">
        <v>1.4999999999999999E-2</v>
      </c>
    </row>
    <row r="55" spans="2:12" x14ac:dyDescent="0.2">
      <c r="C55" s="21"/>
      <c r="L55" s="3"/>
    </row>
    <row r="56" spans="2:12" x14ac:dyDescent="0.2">
      <c r="C56" s="21" t="s">
        <v>34</v>
      </c>
      <c r="H56" s="15">
        <v>0.2</v>
      </c>
      <c r="I56" s="15">
        <v>0.15</v>
      </c>
      <c r="J56" s="15">
        <v>0.1</v>
      </c>
      <c r="K56" s="15">
        <v>0.05</v>
      </c>
      <c r="L56" s="16">
        <v>0.03</v>
      </c>
    </row>
    <row r="57" spans="2:12" x14ac:dyDescent="0.2">
      <c r="C57" s="41" t="s">
        <v>36</v>
      </c>
      <c r="D57" s="9"/>
      <c r="E57" s="9"/>
      <c r="F57" s="9"/>
      <c r="G57" s="9"/>
      <c r="H57" s="17">
        <v>0.2</v>
      </c>
      <c r="I57" s="17">
        <v>0.15</v>
      </c>
      <c r="J57" s="17">
        <v>0.1</v>
      </c>
      <c r="K57" s="17">
        <v>0.05</v>
      </c>
      <c r="L57" s="18">
        <v>0.03</v>
      </c>
    </row>
    <row r="58" spans="2:12" x14ac:dyDescent="0.2">
      <c r="D58" s="9"/>
    </row>
    <row r="59" spans="2:12" x14ac:dyDescent="0.2">
      <c r="B59" t="s">
        <v>14</v>
      </c>
      <c r="C59" s="69" t="s">
        <v>12</v>
      </c>
      <c r="E59" s="100">
        <v>2023</v>
      </c>
      <c r="F59" s="100">
        <v>2024</v>
      </c>
      <c r="G59" s="100">
        <v>2025</v>
      </c>
      <c r="H59" s="100">
        <v>2026</v>
      </c>
      <c r="I59" s="100">
        <v>2027</v>
      </c>
      <c r="J59" s="100">
        <v>2028</v>
      </c>
      <c r="K59" s="100">
        <v>2029</v>
      </c>
      <c r="L59" s="101">
        <v>2030</v>
      </c>
    </row>
    <row r="60" spans="2:12" x14ac:dyDescent="0.2">
      <c r="C60" s="71"/>
      <c r="L60" s="3"/>
    </row>
    <row r="61" spans="2:12" x14ac:dyDescent="0.2">
      <c r="C61" s="21" t="s">
        <v>6</v>
      </c>
      <c r="L61" s="3"/>
    </row>
    <row r="62" spans="2:12" x14ac:dyDescent="0.2">
      <c r="C62" s="71" t="s">
        <v>7</v>
      </c>
      <c r="H62" s="13">
        <v>0.22999999999999998</v>
      </c>
      <c r="I62" s="13">
        <v>0.19</v>
      </c>
      <c r="J62" s="13">
        <v>0.155</v>
      </c>
      <c r="K62" s="13">
        <v>0.06</v>
      </c>
      <c r="L62" s="14">
        <v>0.06</v>
      </c>
    </row>
    <row r="63" spans="2:12" x14ac:dyDescent="0.2">
      <c r="C63" s="71" t="s">
        <v>3</v>
      </c>
      <c r="H63" s="13">
        <v>0.14000000000000001</v>
      </c>
      <c r="I63" s="13">
        <v>0.115</v>
      </c>
      <c r="J63" s="13">
        <v>0.08</v>
      </c>
      <c r="K63" s="13">
        <v>0.05</v>
      </c>
      <c r="L63" s="14">
        <v>0.05</v>
      </c>
    </row>
    <row r="64" spans="2:12" x14ac:dyDescent="0.2">
      <c r="C64" s="21"/>
      <c r="H64" s="13"/>
      <c r="I64" s="13"/>
      <c r="J64" s="13"/>
      <c r="K64" s="13"/>
      <c r="L64" s="14"/>
    </row>
    <row r="65" spans="2:12" x14ac:dyDescent="0.2">
      <c r="C65" s="21" t="s">
        <v>5</v>
      </c>
      <c r="H65" s="13"/>
      <c r="I65" s="13"/>
      <c r="J65" s="13"/>
      <c r="K65" s="13"/>
      <c r="L65" s="14"/>
    </row>
    <row r="66" spans="2:12" x14ac:dyDescent="0.2">
      <c r="C66" s="71" t="s">
        <v>7</v>
      </c>
      <c r="H66" s="13">
        <v>6.5000000000000002E-2</v>
      </c>
      <c r="I66" s="13">
        <v>5.5E-2</v>
      </c>
      <c r="J66" s="13">
        <v>4.4999999999999998E-2</v>
      </c>
      <c r="K66" s="13">
        <v>0.03</v>
      </c>
      <c r="L66" s="14">
        <v>0.03</v>
      </c>
    </row>
    <row r="67" spans="2:12" x14ac:dyDescent="0.2">
      <c r="C67" s="71" t="s">
        <v>3</v>
      </c>
      <c r="H67" s="13">
        <v>4.4999999999999998E-2</v>
      </c>
      <c r="I67" s="13">
        <v>4.4999999999999998E-2</v>
      </c>
      <c r="J67" s="13">
        <v>3.5000000000000003E-2</v>
      </c>
      <c r="K67" s="13">
        <v>0.03</v>
      </c>
      <c r="L67" s="14">
        <v>0.03</v>
      </c>
    </row>
    <row r="68" spans="2:12" x14ac:dyDescent="0.2">
      <c r="C68" s="21"/>
      <c r="H68" s="13"/>
      <c r="I68" s="13"/>
      <c r="J68" s="13"/>
      <c r="K68" s="13"/>
      <c r="L68" s="14"/>
    </row>
    <row r="69" spans="2:12" x14ac:dyDescent="0.2">
      <c r="C69" s="21" t="s">
        <v>34</v>
      </c>
      <c r="H69" s="13">
        <v>0.25</v>
      </c>
      <c r="I69" s="13">
        <v>0.2</v>
      </c>
      <c r="J69" s="13">
        <v>0.15000000000000002</v>
      </c>
      <c r="K69" s="13">
        <v>0.08</v>
      </c>
      <c r="L69" s="14">
        <v>0.06</v>
      </c>
    </row>
    <row r="70" spans="2:12" x14ac:dyDescent="0.2">
      <c r="C70" s="41" t="s">
        <v>36</v>
      </c>
      <c r="D70" s="9"/>
      <c r="E70" s="9"/>
      <c r="F70" s="9"/>
      <c r="G70" s="9"/>
      <c r="H70" s="61">
        <v>0.25</v>
      </c>
      <c r="I70" s="61">
        <v>0.2</v>
      </c>
      <c r="J70" s="61">
        <v>0.15000000000000002</v>
      </c>
      <c r="K70" s="61">
        <v>0.08</v>
      </c>
      <c r="L70" s="62">
        <v>0.06</v>
      </c>
    </row>
    <row r="71" spans="2:12" x14ac:dyDescent="0.2">
      <c r="D71" s="9"/>
    </row>
    <row r="72" spans="2:12" x14ac:dyDescent="0.2">
      <c r="B72" t="s">
        <v>14</v>
      </c>
      <c r="C72" s="69" t="s">
        <v>13</v>
      </c>
      <c r="E72" s="100">
        <v>2023</v>
      </c>
      <c r="F72" s="100">
        <v>2024</v>
      </c>
      <c r="G72" s="100">
        <v>2025</v>
      </c>
      <c r="H72" s="100">
        <v>2026</v>
      </c>
      <c r="I72" s="100">
        <v>2027</v>
      </c>
      <c r="J72" s="100">
        <v>2028</v>
      </c>
      <c r="K72" s="100">
        <v>2029</v>
      </c>
      <c r="L72" s="101">
        <v>2030</v>
      </c>
    </row>
    <row r="73" spans="2:12" x14ac:dyDescent="0.2">
      <c r="C73" s="71"/>
      <c r="L73" s="3"/>
    </row>
    <row r="74" spans="2:12" x14ac:dyDescent="0.2">
      <c r="C74" s="21" t="s">
        <v>6</v>
      </c>
      <c r="L74" s="3"/>
    </row>
    <row r="75" spans="2:12" x14ac:dyDescent="0.2">
      <c r="C75" s="71" t="s">
        <v>7</v>
      </c>
      <c r="H75" s="13">
        <v>0.13</v>
      </c>
      <c r="I75" s="13">
        <v>9.0000000000000011E-2</v>
      </c>
      <c r="J75" s="13">
        <v>5.4999999999999993E-2</v>
      </c>
      <c r="K75" s="13">
        <v>0</v>
      </c>
      <c r="L75" s="14">
        <v>0</v>
      </c>
    </row>
    <row r="76" spans="2:12" x14ac:dyDescent="0.2">
      <c r="C76" s="71" t="s">
        <v>3</v>
      </c>
      <c r="H76" s="13">
        <v>0.03</v>
      </c>
      <c r="I76" s="13">
        <v>1.4999999999999999E-2</v>
      </c>
      <c r="J76" s="13">
        <v>0</v>
      </c>
      <c r="K76" s="13">
        <v>0</v>
      </c>
      <c r="L76" s="14">
        <v>0</v>
      </c>
    </row>
    <row r="77" spans="2:12" x14ac:dyDescent="0.2">
      <c r="C77" s="21"/>
      <c r="H77" s="13"/>
      <c r="I77" s="13"/>
      <c r="J77" s="13"/>
      <c r="K77" s="13"/>
      <c r="L77" s="14"/>
    </row>
    <row r="78" spans="2:12" x14ac:dyDescent="0.2">
      <c r="C78" s="21" t="s">
        <v>5</v>
      </c>
      <c r="H78" s="13"/>
      <c r="I78" s="13"/>
      <c r="J78" s="13"/>
      <c r="K78" s="13"/>
      <c r="L78" s="14"/>
    </row>
    <row r="79" spans="2:12" x14ac:dyDescent="0.2">
      <c r="C79" s="71" t="s">
        <v>7</v>
      </c>
      <c r="H79" s="13">
        <v>1.4999999999999999E-2</v>
      </c>
      <c r="I79" s="13">
        <v>4.9999999999999975E-3</v>
      </c>
      <c r="J79" s="13">
        <v>-5.000000000000001E-3</v>
      </c>
      <c r="K79" s="13">
        <v>-1.5000000000000001E-2</v>
      </c>
      <c r="L79" s="14">
        <v>-1.5000000000000001E-2</v>
      </c>
    </row>
    <row r="80" spans="2:12" x14ac:dyDescent="0.2">
      <c r="C80" s="71" t="s">
        <v>3</v>
      </c>
      <c r="H80" s="13">
        <v>0</v>
      </c>
      <c r="I80" s="13">
        <v>0</v>
      </c>
      <c r="J80" s="13">
        <v>-0.01</v>
      </c>
      <c r="K80" s="13">
        <v>-1.5000000000000001E-2</v>
      </c>
      <c r="L80" s="14">
        <v>-1.5000000000000001E-2</v>
      </c>
    </row>
    <row r="81" spans="2:12" x14ac:dyDescent="0.2">
      <c r="C81" s="21"/>
      <c r="H81" s="13"/>
      <c r="I81" s="13"/>
      <c r="J81" s="13"/>
      <c r="K81" s="13"/>
      <c r="L81" s="14"/>
    </row>
    <row r="82" spans="2:12" x14ac:dyDescent="0.2">
      <c r="C82" s="21" t="s">
        <v>34</v>
      </c>
      <c r="H82" s="13">
        <v>0.15000000000000002</v>
      </c>
      <c r="I82" s="13">
        <v>9.9999999999999992E-2</v>
      </c>
      <c r="J82" s="13">
        <v>0.05</v>
      </c>
      <c r="K82" s="13">
        <v>0</v>
      </c>
      <c r="L82" s="14">
        <v>0</v>
      </c>
    </row>
    <row r="83" spans="2:12" x14ac:dyDescent="0.2">
      <c r="C83" s="41" t="s">
        <v>36</v>
      </c>
      <c r="D83" s="9"/>
      <c r="E83" s="9"/>
      <c r="F83" s="9"/>
      <c r="G83" s="9"/>
      <c r="H83" s="61">
        <v>0.15000000000000002</v>
      </c>
      <c r="I83" s="61">
        <v>9.9999999999999992E-2</v>
      </c>
      <c r="J83" s="61">
        <v>0.05</v>
      </c>
      <c r="K83" s="61">
        <v>0</v>
      </c>
      <c r="L83" s="62">
        <v>0</v>
      </c>
    </row>
    <row r="85" spans="2:12" x14ac:dyDescent="0.2">
      <c r="B85" t="s">
        <v>14</v>
      </c>
      <c r="C85" s="69" t="s">
        <v>26</v>
      </c>
      <c r="D85" s="1"/>
      <c r="E85" s="1"/>
      <c r="F85" s="1"/>
      <c r="G85" s="1"/>
      <c r="H85" s="1"/>
      <c r="I85" s="1"/>
      <c r="J85" s="1"/>
      <c r="K85" s="1"/>
      <c r="L85" s="2"/>
    </row>
    <row r="86" spans="2:12" x14ac:dyDescent="0.2">
      <c r="C86" s="70"/>
      <c r="L86" s="3"/>
    </row>
    <row r="87" spans="2:12" x14ac:dyDescent="0.2">
      <c r="C87" s="21" t="s">
        <v>0</v>
      </c>
      <c r="D87" s="19"/>
      <c r="E87" s="88">
        <v>2023</v>
      </c>
      <c r="F87" s="88">
        <v>2024</v>
      </c>
      <c r="G87" s="88">
        <v>2025</v>
      </c>
      <c r="H87" s="88">
        <v>2026</v>
      </c>
      <c r="I87" s="88">
        <v>2027</v>
      </c>
      <c r="J87" s="88">
        <v>2028</v>
      </c>
      <c r="K87" s="88">
        <v>2029</v>
      </c>
      <c r="L87" s="89">
        <v>2030</v>
      </c>
    </row>
    <row r="88" spans="2:12" x14ac:dyDescent="0.2">
      <c r="C88" s="70"/>
      <c r="L88" s="3"/>
    </row>
    <row r="89" spans="2:12" x14ac:dyDescent="0.2">
      <c r="C89" s="71" t="s">
        <v>15</v>
      </c>
      <c r="E89" s="33">
        <v>28732</v>
      </c>
      <c r="F89" s="33">
        <v>39110</v>
      </c>
      <c r="G89" s="33">
        <v>39018</v>
      </c>
      <c r="H89" s="27">
        <f t="shared" ref="H89:L93" si="14">G89*(1+H104)</f>
        <v>42919.8</v>
      </c>
      <c r="I89" s="27">
        <f t="shared" si="14"/>
        <v>46138.785000000003</v>
      </c>
      <c r="J89" s="27">
        <f t="shared" si="14"/>
        <v>49137.806024999998</v>
      </c>
      <c r="K89" s="27">
        <f t="shared" si="14"/>
        <v>51840.385356374994</v>
      </c>
      <c r="L89" s="28">
        <f t="shared" si="14"/>
        <v>54691.606550975615</v>
      </c>
    </row>
    <row r="90" spans="2:12" x14ac:dyDescent="0.2">
      <c r="C90" s="71" t="s">
        <v>16</v>
      </c>
      <c r="E90" s="36">
        <v>13979</v>
      </c>
      <c r="F90" s="36">
        <v>32467</v>
      </c>
      <c r="G90" s="36">
        <v>33440</v>
      </c>
      <c r="H90" s="50">
        <f t="shared" si="14"/>
        <v>34443.200000000004</v>
      </c>
      <c r="I90" s="50">
        <f t="shared" si="14"/>
        <v>35476.496000000006</v>
      </c>
      <c r="J90" s="50">
        <f t="shared" si="14"/>
        <v>36540.790880000008</v>
      </c>
      <c r="K90" s="50">
        <f t="shared" si="14"/>
        <v>38002.422515200007</v>
      </c>
      <c r="L90" s="51">
        <f t="shared" si="14"/>
        <v>39522.519415808012</v>
      </c>
    </row>
    <row r="91" spans="2:12" x14ac:dyDescent="0.2">
      <c r="C91" s="71" t="s">
        <v>17</v>
      </c>
      <c r="E91" s="36">
        <v>11050</v>
      </c>
      <c r="F91" s="36">
        <v>14859</v>
      </c>
      <c r="G91" s="36">
        <v>16491</v>
      </c>
      <c r="H91" s="50">
        <f t="shared" si="14"/>
        <v>17398.004999999997</v>
      </c>
      <c r="I91" s="50">
        <f t="shared" si="14"/>
        <v>17919.94515</v>
      </c>
      <c r="J91" s="50">
        <f t="shared" si="14"/>
        <v>18457.543504500001</v>
      </c>
      <c r="K91" s="50">
        <f t="shared" si="14"/>
        <v>19195.845244680004</v>
      </c>
      <c r="L91" s="51">
        <f t="shared" si="14"/>
        <v>19963.679054467204</v>
      </c>
    </row>
    <row r="92" spans="2:12" x14ac:dyDescent="0.2">
      <c r="C92" s="71" t="s">
        <v>18</v>
      </c>
      <c r="E92" s="36">
        <v>7806</v>
      </c>
      <c r="F92" s="36">
        <v>14027</v>
      </c>
      <c r="G92" s="36">
        <v>14305</v>
      </c>
      <c r="H92" s="50">
        <f t="shared" si="14"/>
        <v>20027</v>
      </c>
      <c r="I92" s="50">
        <f t="shared" si="14"/>
        <v>18024.3</v>
      </c>
      <c r="J92" s="50">
        <f t="shared" si="14"/>
        <v>16221.869999999999</v>
      </c>
      <c r="K92" s="50">
        <f t="shared" si="14"/>
        <v>16708.526099999999</v>
      </c>
      <c r="L92" s="51">
        <f t="shared" si="14"/>
        <v>17209.781883</v>
      </c>
    </row>
    <row r="93" spans="2:12" x14ac:dyDescent="0.2">
      <c r="C93" s="71" t="s">
        <v>19</v>
      </c>
      <c r="E93" s="36">
        <v>43793</v>
      </c>
      <c r="F93" s="36">
        <v>56754</v>
      </c>
      <c r="G93" s="36">
        <v>38506</v>
      </c>
      <c r="H93" s="50">
        <f t="shared" si="14"/>
        <v>38506</v>
      </c>
      <c r="I93" s="50">
        <f t="shared" si="14"/>
        <v>38506</v>
      </c>
      <c r="J93" s="50">
        <f t="shared" si="14"/>
        <v>38506</v>
      </c>
      <c r="K93" s="50">
        <f t="shared" si="14"/>
        <v>38506</v>
      </c>
      <c r="L93" s="52">
        <f t="shared" si="14"/>
        <v>38506</v>
      </c>
    </row>
    <row r="94" spans="2:12" x14ac:dyDescent="0.2">
      <c r="C94" s="21" t="s">
        <v>20</v>
      </c>
      <c r="E94" s="35">
        <f t="shared" ref="E94:L94" si="15">SUM(E89:E93)</f>
        <v>105360</v>
      </c>
      <c r="F94" s="35">
        <f t="shared" si="15"/>
        <v>157217</v>
      </c>
      <c r="G94" s="35">
        <f t="shared" si="15"/>
        <v>141760</v>
      </c>
      <c r="H94" s="35">
        <f t="shared" si="15"/>
        <v>153294.005</v>
      </c>
      <c r="I94" s="35">
        <f t="shared" si="15"/>
        <v>156065.52615000002</v>
      </c>
      <c r="J94" s="35">
        <f t="shared" si="15"/>
        <v>158864.01040950001</v>
      </c>
      <c r="K94" s="35">
        <f t="shared" si="15"/>
        <v>164253.17921625503</v>
      </c>
      <c r="L94" s="39">
        <f t="shared" si="15"/>
        <v>169893.58690425081</v>
      </c>
    </row>
    <row r="95" spans="2:12" x14ac:dyDescent="0.2">
      <c r="C95" s="21"/>
      <c r="F95" s="33"/>
      <c r="G95" s="33"/>
      <c r="H95" s="27"/>
      <c r="I95" s="27"/>
      <c r="J95" s="27"/>
      <c r="K95" s="27"/>
      <c r="L95" s="28"/>
    </row>
    <row r="96" spans="2:12" x14ac:dyDescent="0.2">
      <c r="C96" s="71" t="s">
        <v>21</v>
      </c>
      <c r="E96" s="33">
        <v>48871</v>
      </c>
      <c r="F96" s="33">
        <v>58672</v>
      </c>
      <c r="G96" s="33">
        <v>58950</v>
      </c>
      <c r="H96" s="33">
        <v>58950</v>
      </c>
      <c r="I96" s="33">
        <v>58950</v>
      </c>
      <c r="J96" s="33">
        <v>58950</v>
      </c>
      <c r="K96" s="33">
        <v>58950</v>
      </c>
      <c r="L96" s="60">
        <v>58950</v>
      </c>
    </row>
    <row r="97" spans="2:12" x14ac:dyDescent="0.2">
      <c r="C97" s="71" t="s">
        <v>22</v>
      </c>
      <c r="E97" s="36">
        <v>19520</v>
      </c>
      <c r="F97" s="36">
        <v>43</v>
      </c>
      <c r="G97" s="36">
        <v>62</v>
      </c>
      <c r="H97" s="34">
        <f>AVERAGE($F$97:$G$97)</f>
        <v>52.5</v>
      </c>
      <c r="I97" s="34">
        <f>AVERAGE($F$97:$G$97)</f>
        <v>52.5</v>
      </c>
      <c r="J97" s="34">
        <f>AVERAGE($F$97:$G$97)</f>
        <v>52.5</v>
      </c>
      <c r="K97" s="34">
        <f>AVERAGE($F$97:$G$97)</f>
        <v>52.5</v>
      </c>
      <c r="L97" s="38">
        <f>AVERAGE($F$97:$G$97)</f>
        <v>52.5</v>
      </c>
    </row>
    <row r="98" spans="2:12" x14ac:dyDescent="0.2">
      <c r="C98" s="21" t="s">
        <v>23</v>
      </c>
      <c r="E98" s="35">
        <f t="shared" ref="E98:L98" si="16">SUM(E96:E97)</f>
        <v>68391</v>
      </c>
      <c r="F98" s="35">
        <f t="shared" si="16"/>
        <v>58715</v>
      </c>
      <c r="G98" s="35">
        <f t="shared" si="16"/>
        <v>59012</v>
      </c>
      <c r="H98" s="35">
        <f t="shared" si="16"/>
        <v>59002.5</v>
      </c>
      <c r="I98" s="35">
        <f t="shared" si="16"/>
        <v>59002.5</v>
      </c>
      <c r="J98" s="35">
        <f t="shared" si="16"/>
        <v>59002.5</v>
      </c>
      <c r="K98" s="35">
        <f t="shared" si="16"/>
        <v>59002.5</v>
      </c>
      <c r="L98" s="39">
        <f t="shared" si="16"/>
        <v>59002.5</v>
      </c>
    </row>
    <row r="99" spans="2:12" x14ac:dyDescent="0.2">
      <c r="C99" s="70"/>
      <c r="F99" s="33"/>
      <c r="G99" s="33"/>
      <c r="H99" s="27"/>
      <c r="I99" s="27"/>
      <c r="J99" s="27"/>
      <c r="K99" s="27"/>
      <c r="L99" s="28"/>
    </row>
    <row r="100" spans="2:12" x14ac:dyDescent="0.2">
      <c r="C100" s="41" t="s">
        <v>24</v>
      </c>
      <c r="D100" s="9"/>
      <c r="E100" s="37">
        <f t="shared" ref="E100:L100" si="17">SUM(E98,E94)</f>
        <v>173751</v>
      </c>
      <c r="F100" s="37">
        <f t="shared" si="17"/>
        <v>215932</v>
      </c>
      <c r="G100" s="37">
        <f t="shared" si="17"/>
        <v>200772</v>
      </c>
      <c r="H100" s="37">
        <f t="shared" si="17"/>
        <v>212296.505</v>
      </c>
      <c r="I100" s="37">
        <f t="shared" si="17"/>
        <v>215068.02615000002</v>
      </c>
      <c r="J100" s="37">
        <f t="shared" si="17"/>
        <v>217866.51040950001</v>
      </c>
      <c r="K100" s="37">
        <f t="shared" si="17"/>
        <v>223255.67921625503</v>
      </c>
      <c r="L100" s="40">
        <f t="shared" si="17"/>
        <v>228896.08690425081</v>
      </c>
    </row>
    <row r="102" spans="2:12" x14ac:dyDescent="0.2">
      <c r="B102" t="s">
        <v>14</v>
      </c>
      <c r="C102" s="69" t="s">
        <v>9</v>
      </c>
      <c r="D102" s="1"/>
      <c r="E102" s="100">
        <v>2023</v>
      </c>
      <c r="F102" s="100">
        <v>2024</v>
      </c>
      <c r="G102" s="100">
        <v>2025</v>
      </c>
      <c r="H102" s="100">
        <v>2026</v>
      </c>
      <c r="I102" s="100">
        <v>2027</v>
      </c>
      <c r="J102" s="100">
        <v>2028</v>
      </c>
      <c r="K102" s="100">
        <v>2029</v>
      </c>
      <c r="L102" s="101">
        <v>2030</v>
      </c>
    </row>
    <row r="103" spans="2:12" x14ac:dyDescent="0.2">
      <c r="C103" s="70"/>
      <c r="L103" s="3"/>
    </row>
    <row r="104" spans="2:12" x14ac:dyDescent="0.2">
      <c r="C104" s="71" t="s">
        <v>15</v>
      </c>
      <c r="E104" s="42"/>
      <c r="F104" s="42">
        <f t="shared" ref="F104:G108" si="18">(F89-E89)/E89</f>
        <v>0.36120005568703883</v>
      </c>
      <c r="G104" s="42">
        <f t="shared" si="18"/>
        <v>-2.352339555100997E-3</v>
      </c>
      <c r="H104" s="15">
        <v>0.1</v>
      </c>
      <c r="I104" s="15">
        <v>7.4999999999999997E-2</v>
      </c>
      <c r="J104" s="15">
        <v>6.5000000000000002E-2</v>
      </c>
      <c r="K104" s="15">
        <v>5.5E-2</v>
      </c>
      <c r="L104" s="16">
        <v>5.5E-2</v>
      </c>
    </row>
    <row r="105" spans="2:12" x14ac:dyDescent="0.2">
      <c r="C105" s="71" t="s">
        <v>16</v>
      </c>
      <c r="E105" s="42"/>
      <c r="F105" s="42">
        <f t="shared" si="18"/>
        <v>1.322555261463624</v>
      </c>
      <c r="G105" s="42">
        <f t="shared" si="18"/>
        <v>2.9968891489820432E-2</v>
      </c>
      <c r="H105" s="15">
        <v>0.03</v>
      </c>
      <c r="I105" s="15">
        <v>0.03</v>
      </c>
      <c r="J105" s="15">
        <v>0.03</v>
      </c>
      <c r="K105" s="15">
        <v>0.04</v>
      </c>
      <c r="L105" s="16">
        <v>0.04</v>
      </c>
    </row>
    <row r="106" spans="2:12" x14ac:dyDescent="0.2">
      <c r="C106" s="71" t="s">
        <v>17</v>
      </c>
      <c r="E106" s="42"/>
      <c r="F106" s="42">
        <f t="shared" si="18"/>
        <v>0.3447058823529412</v>
      </c>
      <c r="G106" s="42">
        <f t="shared" si="18"/>
        <v>0.10983242479305472</v>
      </c>
      <c r="H106" s="15">
        <v>5.5E-2</v>
      </c>
      <c r="I106" s="15">
        <v>0.03</v>
      </c>
      <c r="J106" s="15">
        <v>0.03</v>
      </c>
      <c r="K106" s="15">
        <v>0.04</v>
      </c>
      <c r="L106" s="16">
        <v>0.04</v>
      </c>
    </row>
    <row r="107" spans="2:12" x14ac:dyDescent="0.2">
      <c r="C107" s="71" t="s">
        <v>18</v>
      </c>
      <c r="E107" s="42"/>
      <c r="F107" s="42">
        <f t="shared" si="18"/>
        <v>0.79695106328465282</v>
      </c>
      <c r="G107" s="42">
        <f t="shared" si="18"/>
        <v>1.9818920653026307E-2</v>
      </c>
      <c r="H107" s="15">
        <v>0.4</v>
      </c>
      <c r="I107" s="15">
        <v>-0.1</v>
      </c>
      <c r="J107" s="15">
        <v>-0.1</v>
      </c>
      <c r="K107" s="15">
        <v>0.03</v>
      </c>
      <c r="L107" s="16">
        <v>0.03</v>
      </c>
    </row>
    <row r="108" spans="2:12" x14ac:dyDescent="0.2">
      <c r="C108" s="74" t="s">
        <v>19</v>
      </c>
      <c r="D108" s="9"/>
      <c r="E108" s="43"/>
      <c r="F108" s="43">
        <f t="shared" si="18"/>
        <v>0.29596054163907476</v>
      </c>
      <c r="G108" s="43">
        <f t="shared" si="18"/>
        <v>-0.32152799802657084</v>
      </c>
      <c r="H108" s="17">
        <v>0</v>
      </c>
      <c r="I108" s="17">
        <v>0</v>
      </c>
      <c r="J108" s="17">
        <v>0</v>
      </c>
      <c r="K108" s="17">
        <v>0</v>
      </c>
      <c r="L108" s="18">
        <v>0</v>
      </c>
    </row>
    <row r="110" spans="2:12" x14ac:dyDescent="0.2">
      <c r="B110" t="s">
        <v>14</v>
      </c>
      <c r="C110" s="69" t="s">
        <v>44</v>
      </c>
      <c r="D110" s="1"/>
      <c r="E110" s="1"/>
      <c r="F110" s="1"/>
      <c r="G110" s="1"/>
      <c r="H110" s="1"/>
      <c r="I110" s="1"/>
      <c r="J110" s="1"/>
      <c r="K110" s="1"/>
      <c r="L110" s="2"/>
    </row>
    <row r="111" spans="2:12" x14ac:dyDescent="0.2">
      <c r="C111" s="70"/>
      <c r="L111" s="3"/>
    </row>
    <row r="112" spans="2:12" x14ac:dyDescent="0.2">
      <c r="C112" s="21" t="s">
        <v>0</v>
      </c>
      <c r="D112" s="19"/>
      <c r="E112" s="88">
        <v>2023</v>
      </c>
      <c r="F112" s="88">
        <v>2024</v>
      </c>
      <c r="G112" s="88">
        <v>2025</v>
      </c>
      <c r="H112" s="88">
        <v>2026</v>
      </c>
      <c r="I112" s="88">
        <v>2027</v>
      </c>
      <c r="J112" s="88">
        <v>2028</v>
      </c>
      <c r="K112" s="88">
        <v>2029</v>
      </c>
      <c r="L112" s="89">
        <v>2030</v>
      </c>
    </row>
    <row r="113" spans="2:12" x14ac:dyDescent="0.2">
      <c r="C113" s="70"/>
      <c r="E113" s="75"/>
      <c r="F113" s="75"/>
      <c r="G113" s="75"/>
      <c r="H113" s="75"/>
      <c r="I113" s="75"/>
      <c r="J113" s="75"/>
      <c r="K113" s="75"/>
      <c r="L113" s="76"/>
    </row>
    <row r="114" spans="2:12" x14ac:dyDescent="0.2">
      <c r="C114" s="71" t="s">
        <v>27</v>
      </c>
      <c r="E114" s="77">
        <f>'Brightline DCF Valuation'!E29</f>
        <v>87662.78976</v>
      </c>
      <c r="F114" s="77">
        <f>'Brightline DCF Valuation'!F29</f>
        <v>187940.8291</v>
      </c>
      <c r="G114" s="77">
        <f>'Brightline DCF Valuation'!G29</f>
        <v>214034.07030000002</v>
      </c>
      <c r="H114" s="77">
        <f>'Brightline DCF Valuation'!H29</f>
        <v>243638.22696915999</v>
      </c>
      <c r="I114" s="77">
        <f>'Brightline DCF Valuation'!I29</f>
        <v>268748.31586246815</v>
      </c>
      <c r="J114" s="77">
        <f>'Brightline DCF Valuation'!J29</f>
        <v>286807.8505899781</v>
      </c>
      <c r="K114" s="77">
        <f>'Brightline DCF Valuation'!K29</f>
        <v>299055.96901634568</v>
      </c>
      <c r="L114" s="78">
        <f>'Brightline DCF Valuation'!L29</f>
        <v>311045.6643870924</v>
      </c>
    </row>
    <row r="115" spans="2:12" x14ac:dyDescent="0.2">
      <c r="C115" s="71" t="s">
        <v>33</v>
      </c>
      <c r="D115" s="34"/>
      <c r="E115" s="79">
        <f>-'Brightline DCF Valuation'!E100</f>
        <v>-173751</v>
      </c>
      <c r="F115" s="79">
        <f>-'Brightline DCF Valuation'!F100</f>
        <v>-215932</v>
      </c>
      <c r="G115" s="79">
        <f>-'Brightline DCF Valuation'!G100</f>
        <v>-200772</v>
      </c>
      <c r="H115" s="79">
        <f>-'Brightline DCF Valuation'!H100</f>
        <v>-212296.505</v>
      </c>
      <c r="I115" s="79">
        <f>-'Brightline DCF Valuation'!I100</f>
        <v>-215068.02615000002</v>
      </c>
      <c r="J115" s="79">
        <f>-'Brightline DCF Valuation'!J100</f>
        <v>-217866.51040950001</v>
      </c>
      <c r="K115" s="79">
        <f>-'Brightline DCF Valuation'!K100</f>
        <v>-223255.67921625503</v>
      </c>
      <c r="L115" s="80">
        <f>-'Brightline DCF Valuation'!L100</f>
        <v>-228896.08690425081</v>
      </c>
    </row>
    <row r="116" spans="2:12" x14ac:dyDescent="0.2">
      <c r="C116" s="21" t="s">
        <v>43</v>
      </c>
      <c r="E116" s="81">
        <f t="shared" ref="E116:G116" si="19">SUM(E114:E115)</f>
        <v>-86088.21024</v>
      </c>
      <c r="F116" s="81">
        <f t="shared" si="19"/>
        <v>-27991.170899999997</v>
      </c>
      <c r="G116" s="81">
        <f t="shared" si="19"/>
        <v>13262.070300000021</v>
      </c>
      <c r="H116" s="81">
        <f>SUM(H114:H115)</f>
        <v>31341.721969159989</v>
      </c>
      <c r="I116" s="81">
        <f t="shared" ref="I116:L116" si="20">SUM(I114:I115)</f>
        <v>53680.289712468133</v>
      </c>
      <c r="J116" s="81">
        <f t="shared" si="20"/>
        <v>68941.340180478088</v>
      </c>
      <c r="K116" s="81">
        <f t="shared" si="20"/>
        <v>75800.289800090657</v>
      </c>
      <c r="L116" s="82">
        <f t="shared" si="20"/>
        <v>82149.577482841589</v>
      </c>
    </row>
    <row r="117" spans="2:12" x14ac:dyDescent="0.2">
      <c r="C117" s="70"/>
      <c r="E117" s="75"/>
      <c r="F117" s="75"/>
      <c r="G117" s="75"/>
      <c r="H117" s="75"/>
      <c r="I117" s="75"/>
      <c r="J117" s="75"/>
      <c r="K117" s="75"/>
      <c r="L117" s="76"/>
    </row>
    <row r="118" spans="2:12" x14ac:dyDescent="0.2">
      <c r="C118" s="71" t="s">
        <v>42</v>
      </c>
      <c r="E118" s="83">
        <v>-469519</v>
      </c>
      <c r="F118" s="83">
        <v>-252324</v>
      </c>
      <c r="G118" s="83">
        <v>-50207</v>
      </c>
      <c r="H118" s="83">
        <v>-20000</v>
      </c>
      <c r="I118" s="83">
        <v>-20000</v>
      </c>
      <c r="J118" s="83">
        <v>-20000</v>
      </c>
      <c r="K118" s="83">
        <v>-20000</v>
      </c>
      <c r="L118" s="84">
        <v>-20000</v>
      </c>
    </row>
    <row r="119" spans="2:12" x14ac:dyDescent="0.2">
      <c r="C119" s="71" t="s">
        <v>41</v>
      </c>
      <c r="E119" s="83">
        <v>136344</v>
      </c>
      <c r="F119" s="83">
        <v>-3860</v>
      </c>
      <c r="G119" s="83">
        <v>-36385</v>
      </c>
      <c r="H119" s="83">
        <v>-5000</v>
      </c>
      <c r="I119" s="83">
        <v>-5000</v>
      </c>
      <c r="J119" s="83">
        <v>-5000</v>
      </c>
      <c r="K119" s="83">
        <v>-5000</v>
      </c>
      <c r="L119" s="84">
        <v>-5000</v>
      </c>
    </row>
    <row r="120" spans="2:12" x14ac:dyDescent="0.2">
      <c r="C120" s="21" t="s">
        <v>28</v>
      </c>
      <c r="E120" s="81">
        <f t="shared" ref="E120:L120" si="21">SUM(E116,E118,E119)</f>
        <v>-419263.21024000004</v>
      </c>
      <c r="F120" s="81">
        <f t="shared" si="21"/>
        <v>-284175.17090000003</v>
      </c>
      <c r="G120" s="81">
        <f t="shared" si="21"/>
        <v>-73329.929699999979</v>
      </c>
      <c r="H120" s="81">
        <f t="shared" si="21"/>
        <v>6341.7219691599894</v>
      </c>
      <c r="I120" s="81">
        <f t="shared" si="21"/>
        <v>28680.289712468133</v>
      </c>
      <c r="J120" s="81">
        <f t="shared" si="21"/>
        <v>43941.340180478088</v>
      </c>
      <c r="K120" s="81">
        <f t="shared" si="21"/>
        <v>50800.289800090657</v>
      </c>
      <c r="L120" s="82">
        <f t="shared" si="21"/>
        <v>57149.577482841589</v>
      </c>
    </row>
    <row r="121" spans="2:12" x14ac:dyDescent="0.2">
      <c r="C121" s="41" t="s">
        <v>48</v>
      </c>
      <c r="D121" s="9"/>
      <c r="E121" s="85"/>
      <c r="F121" s="85"/>
      <c r="G121" s="85"/>
      <c r="H121" s="86">
        <f>(H120/((1+$E$132)^(H112-$G$112)))</f>
        <v>5687.643021668152</v>
      </c>
      <c r="I121" s="86">
        <f>(I120/((1+$E$132)^(I112-$G$112)))</f>
        <v>23069.267198188689</v>
      </c>
      <c r="J121" s="86">
        <f>(J120/((1+$E$132)^(J112-$G$112)))</f>
        <v>31699.228783578717</v>
      </c>
      <c r="K121" s="86">
        <f>(K120/((1+$E$132)^(K112-$G$112)))</f>
        <v>32867.503683047056</v>
      </c>
      <c r="L121" s="87">
        <f>(L120/((1+$E$132)^(L112-$G$112)))</f>
        <v>33161.845148670407</v>
      </c>
    </row>
    <row r="123" spans="2:12" x14ac:dyDescent="0.2">
      <c r="B123" t="s">
        <v>14</v>
      </c>
      <c r="C123" s="69" t="s">
        <v>29</v>
      </c>
      <c r="D123" s="1"/>
      <c r="E123" s="2"/>
    </row>
    <row r="124" spans="2:12" x14ac:dyDescent="0.2">
      <c r="C124" s="21"/>
      <c r="E124" s="3"/>
    </row>
    <row r="125" spans="2:12" x14ac:dyDescent="0.2">
      <c r="C125" s="21" t="s">
        <v>30</v>
      </c>
      <c r="E125" s="3"/>
    </row>
    <row r="126" spans="2:12" x14ac:dyDescent="0.2">
      <c r="C126" s="71" t="s">
        <v>31</v>
      </c>
      <c r="E126" s="94">
        <v>4.3999999999999997E-2</v>
      </c>
      <c r="F126" s="63"/>
    </row>
    <row r="127" spans="2:12" x14ac:dyDescent="0.2">
      <c r="C127" s="71" t="s">
        <v>32</v>
      </c>
      <c r="E127" s="94">
        <v>5.7000000000000002E-2</v>
      </c>
      <c r="F127" s="63"/>
    </row>
    <row r="128" spans="2:12" x14ac:dyDescent="0.2">
      <c r="C128" s="71" t="s">
        <v>45</v>
      </c>
      <c r="E128" s="95">
        <v>0.72</v>
      </c>
    </row>
    <row r="129" spans="2:12" x14ac:dyDescent="0.2">
      <c r="C129" s="21" t="s">
        <v>4</v>
      </c>
      <c r="E129" s="96">
        <f>ROUND(E126+(E127*E128),3)</f>
        <v>8.5000000000000006E-2</v>
      </c>
      <c r="F129" s="63"/>
    </row>
    <row r="130" spans="2:12" x14ac:dyDescent="0.2">
      <c r="C130" s="21"/>
      <c r="E130" s="76"/>
    </row>
    <row r="131" spans="2:12" x14ac:dyDescent="0.2">
      <c r="C131" s="71" t="s">
        <v>51</v>
      </c>
      <c r="E131" s="91">
        <v>0.03</v>
      </c>
    </row>
    <row r="132" spans="2:12" x14ac:dyDescent="0.2">
      <c r="C132" s="41" t="s">
        <v>53</v>
      </c>
      <c r="D132" s="9"/>
      <c r="E132" s="97">
        <f>SUM(E131,E129)</f>
        <v>0.115</v>
      </c>
    </row>
    <row r="133" spans="2:12" x14ac:dyDescent="0.2">
      <c r="E133" s="75"/>
    </row>
    <row r="134" spans="2:12" x14ac:dyDescent="0.2">
      <c r="B134" t="s">
        <v>14</v>
      </c>
      <c r="C134" s="69" t="s">
        <v>46</v>
      </c>
      <c r="D134" s="1"/>
      <c r="E134" s="98"/>
      <c r="G134" s="69" t="s">
        <v>52</v>
      </c>
      <c r="H134" s="66"/>
      <c r="I134" s="66"/>
      <c r="J134" s="66"/>
      <c r="K134" s="66"/>
      <c r="L134" s="67"/>
    </row>
    <row r="135" spans="2:12" x14ac:dyDescent="0.2">
      <c r="C135" s="70"/>
      <c r="E135" s="76"/>
      <c r="G135" s="68">
        <f>E140</f>
        <v>528329.02316610026</v>
      </c>
      <c r="H135" s="90">
        <v>9.5000000000000001E-2</v>
      </c>
      <c r="I135" s="90">
        <v>0.105</v>
      </c>
      <c r="J135" s="90">
        <v>0.115</v>
      </c>
      <c r="K135" s="90">
        <v>0.125</v>
      </c>
      <c r="L135" s="91">
        <v>0.13500000000000001</v>
      </c>
    </row>
    <row r="136" spans="2:12" x14ac:dyDescent="0.2">
      <c r="C136" s="21" t="s">
        <v>50</v>
      </c>
      <c r="E136" s="91">
        <v>0.03</v>
      </c>
      <c r="G136" s="92">
        <v>0.02</v>
      </c>
      <c r="H136" s="27">
        <f t="dataTable" ref="H136:L140" dt2D="1" dtr="1" r1="E132" r2="E136"/>
        <v>628538.36281900585</v>
      </c>
      <c r="I136" s="27">
        <v>546836.22553859535</v>
      </c>
      <c r="J136" s="27">
        <v>482538.98311561428</v>
      </c>
      <c r="K136" s="27">
        <v>430666.21406607609</v>
      </c>
      <c r="L136" s="28">
        <v>387970.17480510334</v>
      </c>
    </row>
    <row r="137" spans="2:12" x14ac:dyDescent="0.2">
      <c r="C137" s="70"/>
      <c r="E137" s="76"/>
      <c r="G137" s="92">
        <v>2.5000000000000001E-2</v>
      </c>
      <c r="H137" s="27">
        <v>666397.19803854474</v>
      </c>
      <c r="I137" s="27">
        <v>575021.67751482164</v>
      </c>
      <c r="J137" s="27">
        <v>504162.0575838993</v>
      </c>
      <c r="K137" s="27">
        <v>447655.83305343415</v>
      </c>
      <c r="L137" s="28">
        <v>401581.77099717164</v>
      </c>
    </row>
    <row r="138" spans="2:12" x14ac:dyDescent="0.2">
      <c r="C138" s="71" t="s">
        <v>48</v>
      </c>
      <c r="E138" s="78">
        <f>SUM(H121:L121)</f>
        <v>126485.48783515301</v>
      </c>
      <c r="G138" s="92">
        <v>0.03</v>
      </c>
      <c r="H138" s="27">
        <v>710080.46944570518</v>
      </c>
      <c r="I138" s="27">
        <v>606965.18975454476</v>
      </c>
      <c r="J138" s="27">
        <v>528329.02316610026</v>
      </c>
      <c r="K138" s="27">
        <v>466433.83298683004</v>
      </c>
      <c r="L138" s="28">
        <v>416489.70968372282</v>
      </c>
    </row>
    <row r="139" spans="2:12" x14ac:dyDescent="0.2">
      <c r="C139" s="71" t="s">
        <v>47</v>
      </c>
      <c r="E139" s="99">
        <f>(((L120*(1+E136))/(E132-E136)))/((1+E132)^(L112-G112))</f>
        <v>401843.53533094731</v>
      </c>
      <c r="G139" s="92">
        <v>3.5000000000000003E-2</v>
      </c>
      <c r="H139" s="27">
        <v>761044.28608739236</v>
      </c>
      <c r="I139" s="27">
        <v>643472.06088565686</v>
      </c>
      <c r="J139" s="27">
        <v>555516.85944607644</v>
      </c>
      <c r="K139" s="27">
        <v>487298.27735726978</v>
      </c>
      <c r="L139" s="28">
        <v>432888.44223892898</v>
      </c>
    </row>
    <row r="140" spans="2:12" x14ac:dyDescent="0.2">
      <c r="C140" s="41" t="s">
        <v>49</v>
      </c>
      <c r="D140" s="9"/>
      <c r="E140" s="87">
        <f>SUM(E138:E139)</f>
        <v>528329.02316610026</v>
      </c>
      <c r="G140" s="93">
        <v>0.04</v>
      </c>
      <c r="H140" s="64">
        <v>821274.25120938628</v>
      </c>
      <c r="I140" s="64">
        <v>685595.37372924783</v>
      </c>
      <c r="J140" s="64">
        <v>586329.74056338263</v>
      </c>
      <c r="K140" s="64">
        <v>510617.36224187911</v>
      </c>
      <c r="L140" s="65">
        <v>451013.35716836748</v>
      </c>
    </row>
  </sheetData>
  <conditionalFormatting sqref="H136:L1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44" xr:uid="{50DD858D-B17C-7247-9685-108C59876E65}">
      <formula1>"Base Case, Best Case, Weak Case"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Brightline DCF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 Mudgal</dc:creator>
  <cp:lastModifiedBy>Yogen Mudgal</cp:lastModifiedBy>
  <dcterms:created xsi:type="dcterms:W3CDTF">2026-02-21T22:17:31Z</dcterms:created>
  <dcterms:modified xsi:type="dcterms:W3CDTF">2026-06-30T09:33:57Z</dcterms:modified>
</cp:coreProperties>
</file>